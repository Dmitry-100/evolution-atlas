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eac95307d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епроверка" sheetId="1" r:id="Ra128a351d1324192"/>
    <x:sheet xmlns:r="http://schemas.openxmlformats.org/officeDocument/2006/relationships" name="Детали блоков" sheetId="2" r:id="Rf1d409a42f384b0c"/>
    <x:sheet xmlns:r="http://schemas.openxmlformats.org/officeDocument/2006/relationships" name="Источники" sheetId="3" r:id="R992bf57f79934aee"/>
    <x:sheet xmlns:r="http://schemas.openxmlformats.org/officeDocument/2006/relationships" name="Метод" sheetId="4" r:id="R00fe05e14a434e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6343B"/>
      <x:name val="Arial"/>
    </x:font>
    <x:font>
      <x:b/>
      <x:sz val="15"/>
      <x:color rgb="FF243F4B"/>
      <x:name val="Arial"/>
    </x:font>
    <x:font>
      <x:i/>
      <x:sz val="10"/>
      <x:color rgb="FF657781"/>
      <x:name val="Arial"/>
    </x:font>
    <x:font>
      <x:b/>
      <x:sz val="10"/>
      <x:color rgb="FFFFFFFF"/>
      <x:name val="Arial"/>
    </x:font>
    <x:font>
      <x:b/>
      <x:sz val="10"/>
      <x:color rgb="FF243F4B"/>
      <x:name val="Arial"/>
    </x:font>
    <x:font>
      <x:sz val="10"/>
      <x:color rgb="FF236EA4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F4B"/>
      </x:patternFill>
    </x:fill>
    <x:fill>
      <x:patternFill patternType="solid">
        <x:fgColor rgb="FFF2F5F6"/>
      </x:patternFill>
    </x:fill>
    <x:fill>
      <x:patternFill patternType="solid">
        <x:fgColor rgb="FFFFF3D1"/>
      </x:patternFill>
    </x:fill>
    <x:fill>
      <x:patternFill patternType="solid">
        <x:fgColor rgb="FFFBE6E2"/>
      </x:patternFill>
    </x:fill>
    <x:fill>
      <x:patternFill patternType="solid">
        <x:fgColor rgb="FFE6EFF6"/>
      </x:patternFill>
    </x:fill>
    <x:fill>
      <x:patternFill patternType="solid">
        <x:fgColor rgb="FFE4EFE5"/>
      </x:patternFill>
    </x:fill>
    <x:fill>
      <x:patternFill patternType="solid">
        <x:fgColor rgb="FFEDE7F2"/>
      </x:patternFill>
    </x:fill>
  </x:fills>
  <x:borders count="2">
    <x:border/>
    <x:border>
      <x:bottom style="thin">
        <x:color rgb="FF243F4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bf34a5baf4411" /><Relationship Type="http://schemas.openxmlformats.org/officeDocument/2006/relationships/theme" Target="/xl/theme/theme1.xml" Id="R23eb131a4d8245c2" /><Relationship Type="http://schemas.openxmlformats.org/officeDocument/2006/relationships/sharedStrings" Target="/xl/sharedStrings.xml" Id="R532e2f4350f345a1" /><Relationship Type="http://schemas.openxmlformats.org/officeDocument/2006/relationships/worksheet" Target="/xl/worksheets/sheet1.xml" Id="Ra128a351d1324192" /><Relationship Type="http://schemas.openxmlformats.org/officeDocument/2006/relationships/worksheet" Target="/xl/worksheets/sheet2.xml" Id="Rf1d409a42f384b0c" /><Relationship Type="http://schemas.openxmlformats.org/officeDocument/2006/relationships/worksheet" Target="/xl/worksheets/sheet3.xml" Id="R992bf57f79934aee" /><Relationship Type="http://schemas.openxmlformats.org/officeDocument/2006/relationships/worksheet" Target="/xl/worksheets/sheet4.xml" Id="R00fe05e14a434e92" /></Relationships>
</file>

<file path=xl/tables/table1.xml><?xml version="1.0" encoding="utf-8"?>
<x:table xmlns:x="http://schemas.openxmlformats.org/spreadsheetml/2006/main" id="1" name="Recheck" displayName="Recheck" ref="A5:M53" headerRowCount="1" totalsRowCount="0" totalsRowShown="0">
  <x:autoFilter ref="A5:M53"/>
  <x:tableColumns count="13">
    <x:tableColumn id="1" name="ID"/>
    <x:tableColumn id="2" name="Тема"/>
    <x:tableColumn id="3" name="Решение сейчас"/>
    <x:tableColumn id="4" name="Пересмотр"/>
    <x:tableColumn id="5" name="Результат перепроверки"/>
    <x:tableColumn id="6" name="Действие для редактора"/>
    <x:tableColumn id="7" name="Источники проверки"/>
    <x:tableColumn id="8" name="Портал: исходный фрагмент"/>
    <x:tableColumn id="9" name="Точное место"/>
    <x:tableColumn id="10" name="Уверенность / ограничения"/>
    <x:tableColumn id="11" name="Статус выполнения"/>
    <x:tableColumn id="12" name="Прежний вывод — история"/>
    <x:tableColumn id="13" name="Источники первого аудит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s" displayName="Details" ref="A5:H29" headerRowCount="1" totalsRowCount="0" totalsRowShown="0">
  <x:autoFilter ref="A5:H29"/>
  <x:tableColumns count="8">
    <x:tableColumn id="1" name="ID"/>
    <x:tableColumn id="2" name="Утверждение"/>
    <x:tableColumn id="3" name="Решение"/>
    <x:tableColumn id="4" name="Результат проверки"/>
    <x:tableColumn id="5" name="Точное действие"/>
    <x:tableColumn id="6" name="Источники"/>
    <x:tableColumn id="7" name="Уверенность"/>
    <x:tableColumn id="8" name="Статус выполнени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Sources" displayName="ResearchSources" ref="A5:I64" headerRowCount="1" totalsRowCount="0" totalsRowShown="0">
  <x:autoFilter ref="A5:I64"/>
  <x:tableColumns count="9">
    <x:tableColumn id="1" name="ID"/>
    <x:tableColumn id="2" name="Публикация"/>
    <x:tableColumn id="3" name="Год"/>
    <x:tableColumn id="4" name="Прямая ссылка"/>
    <x:tableColumn id="5" name="Что подтверждает / ограничения"/>
    <x:tableColumn id="6" name="Тип источника"/>
    <x:tableColumn id="7" name="Что прочитано"/>
    <x:tableColumn id="8" name="Основные ID"/>
    <x:tableColumn id="9" name="Подпункт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hod" displayName="Method" ref="A5:B20" headerRowCount="1" totalsRowCount="0" totalsRowShown="0">
  <x:autoFilter ref="A5:B20"/>
  <x:tableColumns count="2">
    <x:tableColumn id="1" name="Параметр"/>
    <x:tableColumn id="2" name="Поясн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5e01b60a9a4c96" /><Relationship Id="oldSource6" Type="http://schemas.openxmlformats.org/officeDocument/2006/relationships/hyperlink" Target="https://antropogenez.ru/zveno-single/55/" TargetMode="External"/><Relationship Id="oldSource7" Type="http://schemas.openxmlformats.org/officeDocument/2006/relationships/hyperlink" Target="https://antropogenez.ru/single-news/article/314/" TargetMode="External"/><Relationship Id="oldSource8" Type="http://schemas.openxmlformats.org/officeDocument/2006/relationships/hyperlink" Target="https://antropogenez.ru/catalog-hominids/" TargetMode="External"/><Relationship Id="oldSource9" Type="http://schemas.openxmlformats.org/officeDocument/2006/relationships/hyperlink" Target="https://antropogenez.ru/zveno-single/515/" TargetMode="External"/><Relationship Id="oldSource10" Type="http://schemas.openxmlformats.org/officeDocument/2006/relationships/hyperlink" Target="https://antropogenez.ru/zveno-single/45/" TargetMode="External"/><Relationship Id="oldSource11" Type="http://schemas.openxmlformats.org/officeDocument/2006/relationships/hyperlink" Target="https://antropogenez.ru/zveno-single/51/" TargetMode="External"/><Relationship Id="oldSource12" Type="http://schemas.openxmlformats.org/officeDocument/2006/relationships/hyperlink" Target="https://antropogenez.ru/zveno-single/55/" TargetMode="External"/><Relationship Id="oldSource13" Type="http://schemas.openxmlformats.org/officeDocument/2006/relationships/hyperlink" Target="https://antropogenez.ru/catalog-hominids/" TargetMode="External"/><Relationship Id="oldSource14" Type="http://schemas.openxmlformats.org/officeDocument/2006/relationships/hyperlink" Target="https://antropogenez.ru/zveno-single/19/" TargetMode="External"/><Relationship Id="oldSource15" Type="http://schemas.openxmlformats.org/officeDocument/2006/relationships/hyperlink" Target="https://antropogenez.ru/single-news/article/810/" TargetMode="External"/><Relationship Id="oldSource16" Type="http://schemas.openxmlformats.org/officeDocument/2006/relationships/hyperlink" Target="https://antropogenez.ru/single-news/article/810/" TargetMode="External"/><Relationship Id="oldSource17" Type="http://schemas.openxmlformats.org/officeDocument/2006/relationships/hyperlink" Target="https://antropogenez.ru/fossil/126/" TargetMode="External"/><Relationship Id="oldSource18" Type="http://schemas.openxmlformats.org/officeDocument/2006/relationships/hyperlink" Target="https://antropogenez.ru/single-news/article/151/" TargetMode="External"/><Relationship Id="oldSource19" Type="http://schemas.openxmlformats.org/officeDocument/2006/relationships/hyperlink" Target="https://antropogenez.ru/article/1144/" TargetMode="External"/><Relationship Id="oldSource20" Type="http://schemas.openxmlformats.org/officeDocument/2006/relationships/hyperlink" Target="https://antropogenez.ru/location/208/" TargetMode="External"/><Relationship Id="oldSource21" Type="http://schemas.openxmlformats.org/officeDocument/2006/relationships/hyperlink" Target="https://antropogenez.ru/single-news/article/719/" TargetMode="External"/><Relationship Id="oldSource22" Type="http://schemas.openxmlformats.org/officeDocument/2006/relationships/hyperlink" Target="https://antropogenez.ru/single-news/article/719/" TargetMode="External"/><Relationship Id="oldSource23" Type="http://schemas.openxmlformats.org/officeDocument/2006/relationships/hyperlink" Target="https://antropogenez.ru/article/1143/" TargetMode="External"/><Relationship Id="oldSource24" Type="http://schemas.openxmlformats.org/officeDocument/2006/relationships/hyperlink" Target="https://antropogenez.ru/zveno-single/607/" TargetMode="External"/><Relationship Id="oldSource25" Type="http://schemas.openxmlformats.org/officeDocument/2006/relationships/hyperlink" Target="https://antropogenez.ru/zveno/" TargetMode="External"/><Relationship Id="oldSource26" Type="http://schemas.openxmlformats.org/officeDocument/2006/relationships/hyperlink" Target="https://antropogenez.ru/zveno-single/58/" TargetMode="External"/><Relationship Id="oldSource27" Type="http://schemas.openxmlformats.org/officeDocument/2006/relationships/hyperlink" Target="https://antropogenez.ru/fileadmin/user_upload/Drevo_iyun_2024.pdf" TargetMode="External"/><Relationship Id="oldSource28" Type="http://schemas.openxmlformats.org/officeDocument/2006/relationships/hyperlink" Target="https://antropogenez.ru/single-news/article/810/" TargetMode="External"/><Relationship Id="oldSource29" Type="http://schemas.openxmlformats.org/officeDocument/2006/relationships/hyperlink" Target="https://antropogenez.ru/single-news/article/566/" TargetMode="External"/><Relationship Id="oldSource30" Type="http://schemas.openxmlformats.org/officeDocument/2006/relationships/hyperlink" Target="https://antropogenez.ru/article/1116/" TargetMode="External"/><Relationship Id="oldSource31" Type="http://schemas.openxmlformats.org/officeDocument/2006/relationships/hyperlink" Target="https://antropogenez.ru/single-news/article/680/" TargetMode="External"/><Relationship Id="oldSource32" Type="http://schemas.openxmlformats.org/officeDocument/2006/relationships/hyperlink" Target="https://antropogenez.ru/zveno-single/19/" TargetMode="External"/><Relationship Id="oldSource33" Type="http://schemas.openxmlformats.org/officeDocument/2006/relationships/hyperlink" Target="https://antropogenez.ru/article/1001/" TargetMode="External"/><Relationship Id="oldSource34" Type="http://schemas.openxmlformats.org/officeDocument/2006/relationships/hyperlink" Target="https://antropogenez.ru/zveno-single/607/" TargetMode="External"/><Relationship Id="oldSource36" Type="http://schemas.openxmlformats.org/officeDocument/2006/relationships/hyperlink" Target="https://antropogenez.ru/forum17-itogi/" TargetMode="External"/><Relationship Id="oldSource37" Type="http://schemas.openxmlformats.org/officeDocument/2006/relationships/hyperlink" Target="https://antropogenez.ru/article/1026/" TargetMode="External"/><Relationship Id="oldSource38" Type="http://schemas.openxmlformats.org/officeDocument/2006/relationships/hyperlink" Target="https://antropogenez.ru/zveno-single/129/" TargetMode="External"/><Relationship Id="oldSource39" Type="http://schemas.openxmlformats.org/officeDocument/2006/relationships/hyperlink" Target="https://antropogenez.ru/catalog-hominids/" TargetMode="External"/><Relationship Id="oldSource40" Type="http://schemas.openxmlformats.org/officeDocument/2006/relationships/hyperlink" Target="https://antropogenez.ru/zveno-single/261/" TargetMode="External"/><Relationship Id="oldSource41" Type="http://schemas.openxmlformats.org/officeDocument/2006/relationships/hyperlink" Target="https://antropogenez.ru/zveno-single/60/" TargetMode="External"/><Relationship Id="oldSource42" Type="http://schemas.openxmlformats.org/officeDocument/2006/relationships/hyperlink" Target="https://antropogenez.ru/catalog-hominids/" TargetMode="External"/><Relationship Id="oldSource43" Type="http://schemas.openxmlformats.org/officeDocument/2006/relationships/hyperlink" Target="https://antropogenez.ru/catalog-hominids/" TargetMode="External"/><Relationship Id="oldSource44" Type="http://schemas.openxmlformats.org/officeDocument/2006/relationships/hyperlink" Target="https://antropogenez.ru/article/859/" TargetMode="External"/><Relationship Id="oldSource45" Type="http://schemas.openxmlformats.org/officeDocument/2006/relationships/hyperlink" Target="https://antropogenez.ru/zveno-single/25/" TargetMode="External"/><Relationship Id="oldSource46" Type="http://schemas.openxmlformats.org/officeDocument/2006/relationships/hyperlink" Target="https://antropogenez.ru/interview/794/" TargetMode="External"/><Relationship Id="oldSource47" Type="http://schemas.openxmlformats.org/officeDocument/2006/relationships/hyperlink" Target="https://antropogenez.ru/interview/1003/" TargetMode="External"/><Relationship Id="oldSource49" Type="http://schemas.openxmlformats.org/officeDocument/2006/relationships/hyperlink" Target="https://antropogenez.ru/interview/913/" TargetMode="External"/><Relationship Id="oldSource53" Type="http://schemas.openxmlformats.org/officeDocument/2006/relationships/hyperlink" Target="https://antropogenez.ru/forum17-itogi/" TargetMode="Externa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0b79418a6c46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bf3cf2162b42ef" /><Relationship Id="research6" Type="http://schemas.openxmlformats.org/officeDocument/2006/relationships/hyperlink" Target="https://www.nature.com/articles/s41586-021-04275-8" TargetMode="External"/><Relationship Id="research7" Type="http://schemas.openxmlformats.org/officeDocument/2006/relationships/hyperlink" Target="https://www.nature.com/articles/s41586-023-06055-y" TargetMode="External"/><Relationship Id="research8" Type="http://schemas.openxmlformats.org/officeDocument/2006/relationships/hyperlink" Target="https://www.nature.com/articles/s41586-024-07095-8" TargetMode="External"/><Relationship Id="research9" Type="http://schemas.openxmlformats.org/officeDocument/2006/relationships/hyperlink" Target="https://www.nature.com/articles/s41559-022-01910-z" TargetMode="External"/><Relationship Id="research10" Type="http://schemas.openxmlformats.org/officeDocument/2006/relationships/hyperlink" Target="https://scholars.lib.ntu.edu.tw/entities/publication/f52a39d2-02af-4efa-95f5-10aeb6ccadb4" TargetMode="External"/><Relationship Id="research11" Type="http://schemas.openxmlformats.org/officeDocument/2006/relationships/hyperlink" Target="https://pmc.ncbi.nlm.nih.gov/articles/PMC7923607/" TargetMode="External"/><Relationship Id="research12" Type="http://schemas.openxmlformats.org/officeDocument/2006/relationships/hyperlink" Target="https://cir.cenieh.es/handle/20.500.12136/2566" TargetMode="External"/><Relationship Id="research13" Type="http://schemas.openxmlformats.org/officeDocument/2006/relationships/hyperlink" Target="https://www.nature.com/articles/s41586-024-07541-7" TargetMode="External"/><Relationship Id="research14" Type="http://schemas.openxmlformats.org/officeDocument/2006/relationships/hyperlink" Target="https://www.nature.com/articles/s41586-025-09968-y" TargetMode="External"/><Relationship Id="research15" Type="http://schemas.openxmlformats.org/officeDocument/2006/relationships/hyperlink" Target="https://www.nature.com/articles/s41467-025-60140-6" TargetMode="External"/><Relationship Id="research16" Type="http://schemas.openxmlformats.org/officeDocument/2006/relationships/hyperlink" Target="https://pubmed.ncbi.nlm.nih.gov/23739424/" TargetMode="External"/><Relationship Id="research17" Type="http://schemas.openxmlformats.org/officeDocument/2006/relationships/hyperlink" Target="https://pmc.ncbi.nlm.nih.gov/articles/PMC3953834/" TargetMode="External"/><Relationship Id="research18" Type="http://schemas.openxmlformats.org/officeDocument/2006/relationships/hyperlink" Target="https://humanorigins.si.edu/evidence/human-fossils/species/ardipithecus-kadabba" TargetMode="External"/><Relationship Id="research19" Type="http://schemas.openxmlformats.org/officeDocument/2006/relationships/hyperlink" Target="https://humanorigins.si.edu/evidence/human-fossils/species/australopithecus-anamensis" TargetMode="External"/><Relationship Id="research20" Type="http://schemas.openxmlformats.org/officeDocument/2006/relationships/hyperlink" Target="https://pubmed.ncbi.nlm.nih.gov/26767965/" TargetMode="External"/><Relationship Id="research21" Type="http://schemas.openxmlformats.org/officeDocument/2006/relationships/hyperlink" Target="https://pmc.ncbi.nlm.nih.gov/articles/PMC12758524/" TargetMode="External"/><Relationship Id="research22" Type="http://schemas.openxmlformats.org/officeDocument/2006/relationships/hyperlink" Target="https://www.nature.com/articles/nature14464" TargetMode="External"/><Relationship Id="research23" Type="http://schemas.openxmlformats.org/officeDocument/2006/relationships/hyperlink" Target="https://pubmed.ncbi.nlm.nih.gov/32241925/" TargetMode="External"/><Relationship Id="research24" Type="http://schemas.openxmlformats.org/officeDocument/2006/relationships/hyperlink" Target="https://www.nature.com/articles/s41559-021-01391-6" TargetMode="External"/><Relationship Id="research25" Type="http://schemas.openxmlformats.org/officeDocument/2006/relationships/hyperlink" Target="https://www.nature.com/articles/434717b" TargetMode="External"/><Relationship Id="research26" Type="http://schemas.openxmlformats.org/officeDocument/2006/relationships/hyperlink" Target="https://www.nature.com/articles/nature17179" TargetMode="External"/><Relationship Id="research27" Type="http://schemas.openxmlformats.org/officeDocument/2006/relationships/hyperlink" Target="https://www.nature.com/articles/nature22336" TargetMode="External"/><Relationship Id="research28" Type="http://schemas.openxmlformats.org/officeDocument/2006/relationships/hyperlink" Target="https://www.nature.com/articles/nature22335" TargetMode="External"/><Relationship Id="research29" Type="http://schemas.openxmlformats.org/officeDocument/2006/relationships/hyperlink" Target="https://pmc.ncbi.nlm.nih.gov/articles/PMC8457661/" TargetMode="External"/><Relationship Id="research30" Type="http://schemas.openxmlformats.org/officeDocument/2006/relationships/hyperlink" Target="https://www.nature.com/articles/nature17405" TargetMode="External"/><Relationship Id="research31" Type="http://schemas.openxmlformats.org/officeDocument/2006/relationships/hyperlink" Target="https://pmc.ncbi.nlm.nih.gov/articles/PMC12058530/" TargetMode="External"/><Relationship Id="research32" Type="http://schemas.openxmlformats.org/officeDocument/2006/relationships/hyperlink" Target="https://pmc.ncbi.nlm.nih.gov/articles/PMC8596304/" TargetMode="External"/><Relationship Id="research33" Type="http://schemas.openxmlformats.org/officeDocument/2006/relationships/hyperlink" Target="https://pmc.ncbi.nlm.nih.gov/articles/PMC3150877/" TargetMode="External"/><Relationship Id="research34" Type="http://schemas.openxmlformats.org/officeDocument/2006/relationships/hyperlink" Target="https://pmc.ncbi.nlm.nih.gov/articles/PMC4311833/" TargetMode="External"/><Relationship Id="research35" Type="http://schemas.openxmlformats.org/officeDocument/2006/relationships/hyperlink" Target="https://pmc.ncbi.nlm.nih.gov/articles/PMC7366323/" TargetMode="External"/><Relationship Id="research36" Type="http://schemas.openxmlformats.org/officeDocument/2006/relationships/hyperlink" Target="https://pubmed.ncbi.nlm.nih.gov/10368443/" TargetMode="External"/><Relationship Id="research37" Type="http://schemas.openxmlformats.org/officeDocument/2006/relationships/hyperlink" Target="https://pmc.ncbi.nlm.nih.gov/articles/PMC6128738/" TargetMode="External"/><Relationship Id="research38" Type="http://schemas.openxmlformats.org/officeDocument/2006/relationships/hyperlink" Target="https://www.nature.com/articles/s41586-021-04039-4" TargetMode="External"/><Relationship Id="research39" Type="http://schemas.openxmlformats.org/officeDocument/2006/relationships/hyperlink" Target="https://www.nature.com/articles/s42003-023-05286-z" TargetMode="External"/><Relationship Id="research40" Type="http://schemas.openxmlformats.org/officeDocument/2006/relationships/hyperlink" Target="https://pmc.ncbi.nlm.nih.gov/articles/PMC2821511/" TargetMode="External"/><Relationship Id="research41" Type="http://schemas.openxmlformats.org/officeDocument/2006/relationships/hyperlink" Target="https://www.nature.com/articles/nature04639" TargetMode="External"/><Relationship Id="research42" Type="http://schemas.openxmlformats.org/officeDocument/2006/relationships/hyperlink" Target="https://www.nature.com/articles/nature08623" TargetMode="External"/><Relationship Id="research43" Type="http://schemas.openxmlformats.org/officeDocument/2006/relationships/hyperlink" Target="https://pubmed.ncbi.nlm.nih.gov/25504729/" TargetMode="External"/><Relationship Id="research44" Type="http://schemas.openxmlformats.org/officeDocument/2006/relationships/hyperlink" Target="https://pmc.ncbi.nlm.nih.gov/articles/PMC7382232/" TargetMode="External"/><Relationship Id="research45" Type="http://schemas.openxmlformats.org/officeDocument/2006/relationships/hyperlink" Target="https://humanorigins.si.edu/evidence/human-fossils/species/homo-heidelbergensis" TargetMode="External"/><Relationship Id="research46" Type="http://schemas.openxmlformats.org/officeDocument/2006/relationships/hyperlink" Target="https://www.nature.com/articles/nature04072" TargetMode="External"/><Relationship Id="research47" Type="http://schemas.openxmlformats.org/officeDocument/2006/relationships/hyperlink" Target="https://www.nature.com/articles/s41559-024-02461-1" TargetMode="External"/><Relationship Id="research48" Type="http://schemas.openxmlformats.org/officeDocument/2006/relationships/hyperlink" Target="https://pmc.ncbi.nlm.nih.gov/articles/PMC9323002/" TargetMode="External"/><Relationship Id="research49" Type="http://schemas.openxmlformats.org/officeDocument/2006/relationships/hyperlink" Target="https://pmc.ncbi.nlm.nih.gov/articles/PMC12745777/" TargetMode="External"/><Relationship Id="research50" Type="http://schemas.openxmlformats.org/officeDocument/2006/relationships/hyperlink" Target="https://pmc.ncbi.nlm.nih.gov/articles/PMC5081622/" TargetMode="External"/><Relationship Id="research51" Type="http://schemas.openxmlformats.org/officeDocument/2006/relationships/hyperlink" Target="https://pubmed.ncbi.nlm.nih.gov/31649141/" TargetMode="External"/><Relationship Id="research52" Type="http://schemas.openxmlformats.org/officeDocument/2006/relationships/hyperlink" Target="https://pmc.ncbi.nlm.nih.gov/articles/PMC6003337/" TargetMode="External"/><Relationship Id="research53" Type="http://schemas.openxmlformats.org/officeDocument/2006/relationships/hyperlink" Target="https://pmc.ncbi.nlm.nih.gov/articles/PMC1989138/" TargetMode="External"/><Relationship Id="research54" Type="http://schemas.openxmlformats.org/officeDocument/2006/relationships/hyperlink" Target="https://pubmed.ncbi.nlm.nih.gov/12837695/" TargetMode="External"/><Relationship Id="research55" Type="http://schemas.openxmlformats.org/officeDocument/2006/relationships/hyperlink" Target="https://pmc.ncbi.nlm.nih.gov/articles/PMC2688934/" TargetMode="External"/><Relationship Id="research56" Type="http://schemas.openxmlformats.org/officeDocument/2006/relationships/hyperlink" Target="https://www.nature.com/articles/s41467-020-17427-7" TargetMode="External"/><Relationship Id="research57" Type="http://schemas.openxmlformats.org/officeDocument/2006/relationships/hyperlink" Target="https://pubmed.ncbi.nlm.nih.gov/39818884/" TargetMode="External"/><Relationship Id="research58" Type="http://schemas.openxmlformats.org/officeDocument/2006/relationships/hyperlink" Target="https://pmc.ncbi.nlm.nih.gov/articles/PMC5933706/" TargetMode="External"/><Relationship Id="research59" Type="http://schemas.openxmlformats.org/officeDocument/2006/relationships/hyperlink" Target="https://pmc.ncbi.nlm.nih.gov/articles/PMC3861491/" TargetMode="External"/><Relationship Id="research60" Type="http://schemas.openxmlformats.org/officeDocument/2006/relationships/hyperlink" Target="https://www.nature.com/articles/s41561-021-00784-3" TargetMode="External"/><Relationship Id="research61" Type="http://schemas.openxmlformats.org/officeDocument/2006/relationships/hyperlink" Target="https://www.sciencedirect.com/science/article/pii/0022519364900384" TargetMode="External"/><Relationship Id="research62" Type="http://schemas.openxmlformats.org/officeDocument/2006/relationships/hyperlink" Target="https://www.nature.com/articles/s41586-026-10358-1" TargetMode="External"/><Relationship Id="research63" Type="http://schemas.openxmlformats.org/officeDocument/2006/relationships/hyperlink" Target="https://www.nature.com/articles/nature18291" TargetMode="External"/><Relationship Id="research64" Type="http://schemas.openxmlformats.org/officeDocument/2006/relationships/hyperlink" Target="https://pubmed.ncbi.nlm.nih.gov/21998386/" TargetMode="External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ca7564605fc495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tabColor rgb="FF243F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130000114440918" hidden="0" customWidth="1"/>
    <x:col min="2" max="2" width="30.6299991607666" hidden="0" customWidth="1"/>
    <x:col min="3" max="3" width="18.1299991607666" hidden="0" customWidth="1"/>
    <x:col min="4" max="4" width="25.6299991607666" hidden="0" customWidth="1"/>
    <x:col min="5" max="5" width="66.25" hidden="0" customWidth="1"/>
    <x:col min="6" max="6" width="61.25" hidden="0" customWidth="1"/>
    <x:col min="7" max="7" width="17.5" hidden="0" customWidth="1"/>
    <x:col min="8" max="8" width="45" hidden="0" customWidth="1"/>
    <x:col min="9" max="9" width="48.75" hidden="0" customWidth="1"/>
    <x:col min="10" max="10" width="33.130001068115234" hidden="0" customWidth="1"/>
    <x:col min="11" max="11" width="22.5" hidden="0" customWidth="1"/>
    <x:col min="12" max="12" width="53.130001068115234" hidden="0" customWidth="1"/>
    <x:col min="13" max="13" width="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Расхождения · повторная проверка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5" t="str">
        <x:v>13.09.2026 · 48 позиций · 59 источников · прежние 33 правки: 12 исправить / 10 уточнить / 7 снято / 4 развитие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6" customHeight="1">
      <x:c r="A5" s="13" t="str">
        <x:v>ID</x:v>
      </x:c>
      <x:c r="B5" s="13" t="str">
        <x:v>Тема</x:v>
      </x:c>
      <x:c r="C5" s="13" t="str">
        <x:v>Решение сейчас</x:v>
      </x:c>
      <x:c r="D5" s="13" t="str">
        <x:v>Пересмотр</x:v>
      </x:c>
      <x:c r="E5" s="13" t="str">
        <x:v>Результат перепроверки</x:v>
      </x:c>
      <x:c r="F5" s="13" t="str">
        <x:v>Действие для редактора</x:v>
      </x:c>
      <x:c r="G5" s="13" t="str">
        <x:v>Источники проверки</x:v>
      </x:c>
      <x:c r="H5" s="13" t="str">
        <x:v>Портал: исходный фрагмент</x:v>
      </x:c>
      <x:c r="I5" s="13" t="str">
        <x:v>Точное место</x:v>
      </x:c>
      <x:c r="J5" s="13" t="str">
        <x:v>Уверенность / ограничения</x:v>
      </x:c>
      <x:c r="K5" s="13" t="str">
        <x:v>Статус выполнения</x:v>
      </x:c>
      <x:c r="L5" s="13" t="str">
        <x:v>Прежний вывод — история</x:v>
      </x:c>
      <x:c r="M5" s="13" t="str">
        <x:v>Источники первого аудита</x:v>
      </x:c>
    </x:row>
    <x:row r="6" ht="78.75" customHeight="1">
      <x:c r="A6" s="9" t="str">
        <x:v>A01</x:v>
      </x:c>
      <x:c r="B6" s="9" t="str">
        <x:v>Как дерево определяет родство</x:v>
      </x:c>
      <x:c r="C6" s="16" t="str">
        <x:v>Уточнить</x:v>
      </x:c>
      <x:c r="D6" s="15" t="str">
        <x:v>Сужено</x:v>
      </x:c>
      <x:c r="E6" s="9" t="str">
        <x:v>Код действительно выбирает родительский узел по возрасту. Это недостаточное основание родства, но не доказывает ошибочность всех полученных связей. Роли stem-form и close-relative уже различаются в данных.</x:v>
      </x:c>
      <x:c r="F6" s="9" t="str">
        <x:v>Проверять конкретные рёбра и подписи общего предка. Явные родительские связи — улучшение модели; установленный пример ошибки вынесен в A02.</x:v>
      </x:c>
      <x:c r="G6" s="17" t="str">
        <x:v>Внутренняя сверка</x:v>
      </x:c>
      <x:c r="H6" s="9" t="str">
        <x:v>В buildCladogram ветви получают ближайший более древний узел; кандидаты в предки собраны в один ствол по ageMa.</x:v>
      </x:c>
      <x:c r="I6" s="9" t="str">
        <x:v>src/lib/cladogram.ts:630
function findNearestOlderTrunkStage
src/lib/cladogram.ts:698
export function buildCladogram</x:v>
      </x:c>
      <x:c r="J6" s="9" t="str">
        <x:v>Высокая для кода; не оценка всех рёбер</x:v>
      </x:c>
      <x:c r="K6" s="15" t="str">
        <x:v>Не внесено</x:v>
      </x:c>
      <x:c r="L6" s="9" t="str">
        <x:v>Хронологический сосед не обязательно предок. Замена даты карточки может изменить научный смысл дерева без изменения данных о родстве.</x:v>
      </x:c>
      <x:c r="M6" s="9" t="str">
        <x:v>S33 https://antropogenez.ru/zveno-single/55/
S39 https://antropogenez.ru/zveno-single/61/
S10 https://antropogenez.ru/fileadmin/user_upload/Drevo_iyun_2024.pdf</x:v>
      </x:c>
    </x:row>
    <x:row r="7" ht="78.75" customHeight="1">
      <x:c r="A7" s="14" t="str">
        <x:v>A02</x:v>
      </x:c>
      <x:c r="B7" s="14" t="str">
        <x:v>Общий предок долгопятов и антропоидов</x:v>
      </x:c>
      <x:c r="C7" s="19" t="str">
        <x:v>Исправить</x:v>
      </x:c>
      <x:c r="D7" s="18" t="str">
        <x:v>Подтверждено</x:v>
      </x:c>
      <x:c r="E7" s="14" t="str">
        <x:v>Долгопяты и антропоиды — соседние ветви Haplorhini. Родитель Anthropoidea в 40 млн лет не может быть общим предком ветви, которой присвоено 45 млн. Archicebus около 55 млн дополнительно показывает несостоятельность этой датировки общего предка.</x:v>
      </x:c>
      <x:c r="F7" s="14" t="str">
        <x:v>Задать для долгопятов узел общего предка сухоносых приматов; отдельно обосновать возраст разделения. Не использовать 40 млн как дату общего предка.</x:v>
      </x:c>
      <x:c r="G7" s="20" t="str">
        <x:v>R11</x:v>
      </x:c>
      <x:c r="H7" s="14" t="str">
        <x:v>branch-tarsiers: parentId=anthropoids, ageMa=45; общий предок по умолчанию — «Предок антропоидов», 40 млн лет.</x:v>
      </x:c>
      <x:c r="I7" s="14" t="str">
        <x:v>src/lib/cladogram.ts:537
id: "branch-tarsiers"
src/data/lineage.ts:450
id: "anthropoids"</x:v>
      </x:c>
      <x:c r="J7" s="14" t="str">
        <x:v>Высокая</x:v>
      </x:c>
      <x:c r="K7" s="15" t="str">
        <x:v>Не внесено</x:v>
      </x:c>
      <x:c r="L7" s="14" t="str">
        <x:v>Долгопяты прикреплены к узлу Simiiformes, а вычисленный предок на 5 млн лет моложе самой ветви.</x:v>
      </x:c>
      <x:c r="M7" s="14" t="str">
        <x:v>S19 https://antropogenez.ru/single-news/article/314/
S29 https://antropogenez.ru/zveno-single/45/</x:v>
      </x:c>
    </x:row>
    <x:row r="8" ht="117" customHeight="1">
      <x:c r="A8" s="9" t="str">
        <x:v>A03</x:v>
      </x:c>
      <x:c r="B8" s="9" t="str">
        <x:v>Смысл дат в карточках</x:v>
      </x:c>
      <x:c r="C8" s="16" t="str">
        <x:v>Уточнить</x:v>
      </x:c>
      <x:c r="D8" s="15" t="str">
        <x:v>Сужено</x:v>
      </x:c>
      <x:c r="E8" s="9" t="str">
        <x:v>Обнаружена неоднозначность интерфейса, а не доказательство, что все даты неверны. Возраст находки, пример периода и дата разделения не взаимозаменяемы.</x:v>
      </x:c>
      <x:c r="F8" s="9" t="str">
        <x:v>Добавить тип даты и пояснить, что признак на карточке может характеризовать группу, а не впервые возникнуть в указанную дату. Учитывать это при A07–A14 и D06.</x:v>
      </x:c>
      <x:c r="G8" s="17" t="str">
        <x:v>Внутренняя сверка</x:v>
      </x:c>
      <x:c r="H8" s="9" t="str">
        <x:v>Карточки показывают только formatAgeRu(stage.ageMa): 4,4 млн для Ardipithecus, 3,2 млн для Australopithecus, 300 тыс. для Denisovans.</x:v>
      </x:c>
      <x:c r="I8" s="9" t="str">
        <x:v>src/data/lineage.ts:36
export type EvolutionStage
src/components/atlas/StageDetailCard.tsx:130
&lt;p className="kicker"&gt;
src/data/glossary.ts:236
где признак входит</x:v>
      </x:c>
      <x:c r="J8" s="9" t="str">
        <x:v>Высокая для интерфейса</x:v>
      </x:c>
      <x:c r="K8" s="15" t="str">
        <x:v>Не внесено</x:v>
      </x:c>
      <x:c r="L8" s="9" t="str">
        <x:v>Возраст конкретной находки, начало летописи группы и время разделения линий выглядят одинаково. Карта признаков дополнительно связывает их с появлением признака.</x:v>
      </x:c>
      <x:c r="M8" s="9" t="str">
        <x:v>S09 https://antropogenez.ru/catalog-hominids/
S10 https://antropogenez.ru/fileadmin/user_upload/Drevo_iyun_2024.pdf</x:v>
      </x:c>
    </x:row>
    <x:row r="9" ht="66" customHeight="1">
      <x:c r="A9" s="14" t="str">
        <x:v>A04</x:v>
      </x:c>
      <x:c r="B9" s="14" t="str">
        <x:v>Plesiadapis: терминология и зрение</x:v>
      </x:c>
      <x:c r="C9" s="16" t="str">
        <x:v>Уточнить</x:v>
      </x:c>
      <x:c r="D9" s="15" t="str">
        <x:v>Сужено</x:v>
      </x:c>
      <x:c r="E9" s="14" t="str">
        <x:v>Plesiadapis допустимо называть стволовым приматом в широком смысле. Карточка уже оговаривает близкое родство. Работа по P. tricuspidens поддерживает осторожность с «острым зрением», но не даёт количественной оценки зрения P. cookei.</x:v>
      </x:c>
      <x:c r="F9" s="14" t="str">
        <x:v>Согласовать заголовок с «ранними родственниками приматов»; заменить недоказанное «острое зрение» на древесный образ жизни. Не объявлять всё описание или название рода ошибочным.</x:v>
      </x:c>
      <x:c r="G9" s="20" t="str">
        <x:v>R12</x:v>
      </x:c>
      <x:c r="H9" s="14" t="str">
        <x:v>«Древние приматы»; «деревья, хватание, острое зрение, ловкость»; «цепкий хват».</x:v>
      </x:c>
      <x:c r="I9" s="14" t="str">
        <x:v>src/data/lineage.ts:432
id: "plesiadapis"</x:v>
      </x:c>
      <x:c r="J9" s="14" t="str">
        <x:v>Средняя
Исследован другой вид того же рода; не переносить все детали анатомии автоматически.</x:v>
      </x:c>
      <x:c r="K9" s="15" t="str">
        <x:v>Не внесено</x:v>
      </x:c>
      <x:c r="L9" s="14" t="str">
        <x:v>Текст переносит типичный образ ловкого зрительно ориентированного примата на специализированного раннего родственника.</x:v>
      </x:c>
      <x:c r="M9" s="14" t="str">
        <x:v>S32 https://antropogenez.ru/zveno-single/515/
S28 https://antropogenez.ru/zveno-single/44/</x:v>
      </x:c>
    </x:row>
    <x:row r="10" ht="63" customHeight="1">
      <x:c r="A10" s="9" t="str">
        <x:v>A05</x:v>
      </x:c>
      <x:c r="B10" s="9" t="str">
        <x:v>Охват ранних приматов</x:v>
      </x:c>
      <x:c r="C10" s="22" t="str">
        <x:v>Развитие</x:v>
      </x:c>
      <x:c r="D10" s="21" t="str">
        <x:v>Снято как ошибка</x:v>
      </x:c>
      <x:c r="E10" s="9" t="str">
        <x:v>Пропуск промежуточного этапа не делает сокращённую образовательную последовательность ложной. 40 млн допустимо как иллюстративная отметка; начало всей группы древнее. Нет основания механически заменить 40 на 55 млн по спорному Anthrasimias.</x:v>
      </x:c>
      <x:c r="F10" s="9" t="str">
        <x:v>При расширении дерева добавить ранних настоящих приматов. Тип даты решить через A03, родство долгопятов — через A02.</x:v>
      </x:c>
      <x:c r="G10" s="17" t="str">
        <x:v>R11</x:v>
      </x:c>
      <x:c r="H10" s="9" t="str">
        <x:v>После Plesiadapis 55 млн лет следует узел «Антропоиды», 40 млн лет; ранние настоящие приматы отдельно не представлены.</x:v>
      </x:c>
      <x:c r="I10" s="9" t="str">
        <x:v>src/data/lineage.ts:450
id: "anthropoids"</x:v>
      </x:c>
      <x:c r="J10" s="9" t="str">
        <x:v>Высокая</x:v>
      </x:c>
      <x:c r="K10" s="15" t="str">
        <x:v>Отдельное решение</x:v>
      </x:c>
      <x:c r="L10" s="9" t="str">
        <x:v>40 млн выглядит как дата возникновения группы; переход от плезиадаписа к антропоидам пропускает важную развилку.</x:v>
      </x:c>
      <x:c r="M10" s="9" t="str">
        <x:v>S29 https://antropogenez.ru/zveno-single/45/
S30 https://antropogenez.ru/zveno-single/47/</x:v>
      </x:c>
    </x:row>
    <x:row r="11" ht="66" customHeight="1">
      <x:c r="A11" s="14" t="str">
        <x:v>A06</x:v>
      </x:c>
      <x:c r="B11" s="14" t="str">
        <x:v>Потеря хвоста у ранних человекообразных</x:v>
      </x:c>
      <x:c r="C11" s="24" t="str">
        <x:v>Оставить</x:v>
      </x:c>
      <x:c r="D11" s="23" t="str">
        <x:v>Замечание снято</x:v>
      </x:c>
      <x:c r="E11" s="14" t="str">
        <x:v>Потеря хвоста в ранней истории человекообразных имеет независимую опору. Сравнительная работа реконструирует Proconsul heseloni бесхвостым; работа 2024 года исследует механизм потери хвоста. Общая фраза об изменении плечевого пояса не утверждает готовую современную брахиацию.</x:v>
      </x:c>
      <x:c r="F11" s="14" t="str">
        <x:v>Сохранить основу карточки. Если добавлять детали, не приписывать Proconsul весь комплекс локомоции современных человекообразных.</x:v>
      </x:c>
      <x:c r="G11" s="20" t="str">
        <x:v>R15; R03</x:v>
      </x:c>
      <x:c r="H11" s="14" t="str">
        <x:v>«Ранние человекообразные теряют хвост и меняют плечевой пояс…», Proconsul, 20 млн лет.</x:v>
      </x:c>
      <x:c r="I11" s="14" t="str">
        <x:v>src/data/lineage.ts:510
id: "early-apes"</x:v>
      </x:c>
      <x:c r="J11" s="14" t="str">
        <x:v>Высокая</x:v>
      </x:c>
      <x:c r="K11" s="15" t="str">
        <x:v>Не требуется</x:v>
      </x:c>
      <x:c r="L11" s="14" t="str">
        <x:v>Обобщение создаёт впечатление синхронной утраты хвоста и современной специализации плеча у всей группы.</x:v>
      </x:c>
      <x:c r="M11" s="14" t="str">
        <x:v>S31 https://antropogenez.ru/zveno-single/51/</x:v>
      </x:c>
    </x:row>
    <x:row r="12" ht="63" customHeight="1">
      <x:c r="A12" s="9" t="str">
        <x:v>A07</x:v>
      </x:c>
      <x:c r="B12" s="9" t="str">
        <x:v>Ardipithecus: дата вида и рода</x:v>
      </x:c>
      <x:c r="C12" s="16" t="str">
        <x:v>Уточнить</x:v>
      </x:c>
      <x:c r="D12" s="15" t="str">
        <x:v>Сужено</x:v>
      </x:c>
      <x:c r="E12" s="9" t="str">
        <x:v>4,4 млн — корректная дата Ardipithecus ramidus. Расхождение возникает лишь при прочтении её как начала рода, включающего более древнего A. kadabba.</x:v>
      </x:c>
      <x:c r="F12" s="9" t="str">
        <x:v>Указать «Ardipithecus ramidus, около 4,4 млн» либо назвать дату возрастом примера. Не заменять достоверную дату ramidus датой kadabba.</x:v>
      </x:c>
      <x:c r="G12" s="17" t="str">
        <x:v>R13</x:v>
      </x:c>
      <x:c r="H12" s="9" t="str">
        <x:v>Ardipithecus — 4,4 млн лет; карточка называется «Ардипитеки».</x:v>
      </x:c>
      <x:c r="I12" s="9" t="str">
        <x:v>src/data/lineage.ts:555
id: "ardipithecus"</x:v>
      </x:c>
      <x:c r="J12" s="9" t="str">
        <x:v>Высокая</x:v>
      </x:c>
      <x:c r="K12" s="15" t="str">
        <x:v>Не внесено</x:v>
      </x:c>
      <x:c r="L12" s="9" t="str">
        <x:v>Род представлен датой одного вида без подписи к значению даты.</x:v>
      </x:c>
      <x:c r="M12" s="9" t="str">
        <x:v>S33 https://antropogenez.ru/zveno-single/55/
S35 https://antropogenez.ru/zveno-single/57/</x:v>
      </x:c>
    </x:row>
    <x:row r="13" ht="78.75" customHeight="1">
      <x:c r="A13" s="14" t="str">
        <x:v>A08</x:v>
      </x:c>
      <x:c r="B13" s="14" t="str">
        <x:v>Australopithecus: дата Люси и рода</x:v>
      </x:c>
      <x:c r="C13" s="16" t="str">
        <x:v>Уточнить</x:v>
      </x:c>
      <x:c r="D13" s="15" t="str">
        <x:v>Сужено</x:v>
      </x:c>
      <x:c r="E13" s="14" t="str">
        <x:v>3,2 млн корректно для Люси; род Australopithecus известен раньше. Это вопрос масштаба подписи, а не устаревшая датировка Люси.</x:v>
      </x:c>
      <x:c r="F13" s="14" t="str">
        <x:v>Подписать выбранный пример: «Люси, A. afarensis, около 3,2 млн»; при описании рода добавить его более раннюю историю.</x:v>
      </x:c>
      <x:c r="G13" s="20" t="str">
        <x:v>R14</x:v>
      </x:c>
      <x:c r="H13" s="14" t="str">
        <x:v>Australopithecus — 3,2 млн лет; «Австралопитеки», иллюстрация Люси.</x:v>
      </x:c>
      <x:c r="I13" s="14" t="str">
        <x:v>src/data/lineage.ts:570
id: "australopithecus"
src/data/bodyTraits.ts:378
id: "move-bipedalism"</x:v>
      </x:c>
      <x:c r="J13" s="14" t="str">
        <x:v>Высокая</x:v>
      </x:c>
      <x:c r="K13" s="15" t="str">
        <x:v>Не внесено</x:v>
      </x:c>
      <x:c r="L13" s="14" t="str">
        <x:v>Датировка экземпляра скрывает разнообразие и длительность существования рода.</x:v>
      </x:c>
      <x:c r="M13" s="14" t="str">
        <x:v>S09 https://antropogenez.ru/catalog-hominids/
S34 https://antropogenez.ru/zveno-single/56/</x:v>
      </x:c>
    </x:row>
    <x:row r="14" ht="78.75" customHeight="1">
      <x:c r="A14" s="9" t="str">
        <x:v>A09</x:v>
      </x:c>
      <x:c r="B14" s="9" t="str">
        <x:v>Гипотеза ранней перестройки таза</x:v>
      </x:c>
      <x:c r="C14" s="16" t="str">
        <x:v>Уточнить</x:v>
      </x:c>
      <x:c r="D14" s="15" t="str">
        <x:v>Сужено</x:v>
      </x:c>
      <x:c r="E14" s="9" t="str">
        <x:v>На портале уже стоит likely, и речь о ранних гомининах в целом. Работа 2026 года усиливает аргументы за двуногость Sahelanthropus, но исследует бедренную и локтевые кости, не таз. Отсутствие таза не опровергает гипотезу перестройки походки.</x:v>
      </x:c>
      <x:c r="F14" s="9" t="str">
        <x:v>Сохранить вероятностную формулировку. Отделить предполагаемую раннюю перестройку от непосредственно известных тазовых костей. Не заявлять, что найден таз сахелантропа; ошибка иллюстрации — A27.</x:v>
      </x:c>
      <x:c r="G14" s="17" t="str">
        <x:v>R16</x:v>
      </x:c>
      <x:c r="H14" s="9" t="str">
        <x:v>move-pelvis → hominins, 7 млн лет, «вероятно»; ранним гомининам приписана перестройка таза.</x:v>
      </x:c>
      <x:c r="I14" s="9" t="str">
        <x:v>src/data/bodyTraits.ts:367
id: "move-pelvis"
src/data/lineage.ts:540
id: "hominins"</x:v>
      </x:c>
      <x:c r="J14" s="9" t="str">
        <x:v>Высокая</x:v>
      </x:c>
      <x:c r="K14" s="15" t="str">
        <x:v>Не внесено</x:v>
      </x:c>
      <x:c r="L14" s="9" t="str">
        <x:v>Гипотеза ранней двуногости подменяет конкретное анатомическое свидетельство строения таза.</x:v>
      </x:c>
      <x:c r="M14" s="9" t="str">
        <x:v>S25 https://antropogenez.ru/zveno-single/19/
S35 https://antropogenez.ru/zveno-single/57/</x:v>
      </x:c>
    </x:row>
    <x:row r="15" ht="78.75" customHeight="1">
      <x:c r="A15" s="14" t="str">
        <x:v>A10</x:v>
      </x:c>
      <x:c r="B15" s="14" t="str">
        <x:v>Ранний Homo и каменные орудия</x:v>
      </x:c>
      <x:c r="C15" s="16" t="str">
        <x:v>Уточнить</x:v>
      </x:c>
      <x:c r="D15" s="15" t="str">
        <x:v>Сужено</x:v>
      </x:c>
      <x:c r="E15" s="14" t="str">
        <x:v>У раннего Homo были каменные технологии; карточка не называет его первым изготовителем. Орудия Ломекви 3,3 млн старше известных остатков Homo, поэтому неверна только интерпретация отметки 2,8 млн как начала орудий вообще.</x:v>
      </x:c>
      <x:c r="F15" s="14" t="str">
        <x:v>Добавить короткую оговорку о более древних орудиях и неизвестном изготовителе. Первенство H. habilis исправлять в PDF по A23; возраст LD 350-1 сохранить.</x:v>
      </x:c>
      <x:c r="G15" s="20" t="str">
        <x:v>R17</x:v>
      </x:c>
      <x:c r="H15" s="14" t="str">
        <x:v>brain-stone-tools → early-homo, 2,8 млн лет, «подтверждено»; пояснение карты говорит о вхождении признака в ветвь.</x:v>
      </x:c>
      <x:c r="I15" s="14" t="str">
        <x:v>src/data/bodyTraits.ts:477
id: "brain-stone-tools"
src/data/lineage.ts:585
id: "early-homo"</x:v>
      </x:c>
      <x:c r="J15" s="14" t="str">
        <x:v>Высокая</x:v>
      </x:c>
      <x:c r="K15" s="15" t="str">
        <x:v>Не внесено</x:v>
      </x:c>
      <x:c r="L15" s="14" t="str">
        <x:v>Основной текст не говорит «самые первые», но привязка карты создаёт такое прочтение и не показывает до-Homo орудия.</x:v>
      </x:c>
      <x:c r="M15" s="14" t="str">
        <x:v>S23 https://antropogenez.ru/single-news/article/810/</x:v>
      </x:c>
    </x:row>
    <x:row r="16" ht="78.75" customHeight="1">
      <x:c r="A16" s="9" t="str">
        <x:v>A11</x:v>
      </x:c>
      <x:c r="B16" s="9" t="str">
        <x:v>Рост мозга у раннего Homo</x:v>
      </x:c>
      <x:c r="C16" s="24" t="str">
        <x:v>Оставить</x:v>
      </x:c>
      <x:c r="D16" s="23" t="str">
        <x:v>Замечание снято</x:v>
      </x:c>
      <x:c r="E16" s="9" t="str">
        <x:v>В данных рост мозга помечен likely и относится к раннему Homo в целом. Из текста не следует, что объём мозга измерили по челюсти LD 350-1. Прежнее замечание приписывало порталу более сильный тезис, чем написано.</x:v>
      </x:c>
      <x:c r="F16" s="9" t="str">
        <x:v>Сохранить описание процесса; не превращать 2,8 млн в дату измеренного скачка мозга. Общая ясность дат — A03.</x:v>
      </x:c>
      <x:c r="G16" s="17" t="str">
        <x:v>Внутренняя сверка</x:v>
      </x:c>
      <x:c r="H16" s="9" t="str">
        <x:v>Узел 2,8 млн лет обоснован LD 350-1, а к нему прикреплён brain-brain-growth.</x:v>
      </x:c>
      <x:c r="I16" s="9" t="str">
        <x:v>src/data/bodyTraits.ts:466
id: "brain-brain-growth"
src/data/lineage.ts:585
id: "early-homo"</x:v>
      </x:c>
      <x:c r="J16" s="9" t="str">
        <x:v>Высокая для прочтения текста</x:v>
      </x:c>
      <x:c r="K16" s="15" t="str">
        <x:v>Не требуется</x:v>
      </x:c>
      <x:c r="L16" s="9" t="str">
        <x:v>Челюсть не позволяет восстановить объём мозга её обладателя; одна датировка объединяет разные находки.</x:v>
      </x:c>
      <x:c r="M16" s="9" t="str">
        <x:v>S23 https://antropogenez.ru/single-news/article/810/
S40 https://antropogenez.ru/zveno-single/749/</x:v>
      </x:c>
    </x:row>
    <x:row r="17" ht="63" customHeight="1">
      <x:c r="A17" s="14" t="str">
        <x:v>A12</x:v>
      </x:c>
      <x:c r="B17" s="14" t="str">
        <x:v>Забота о слабых</x:v>
      </x:c>
      <x:c r="C17" s="24" t="str">
        <x:v>Оставить</x:v>
      </x:c>
      <x:c r="D17" s="23" t="str">
        <x:v>Замечание снято</x:v>
      </x:c>
      <x:c r="E17" s="14" t="str">
        <x:v>Карточка с заботой у H. heidelbergensis не содержит слова «впервые», а признак уже помечен likely. Более древний пример Дманиси не опровергает заботу у более поздних людей; сам вывод о помощи в Дманиси интерпретационный.</x:v>
      </x:c>
      <x:c r="F17" s="14" t="str">
        <x:v>Сохранить карточку. Пример Дманиси можно добавить отдельно, не задавая по нему точную дату возникновения заботы.</x:v>
      </x:c>
      <x:c r="G17" s="20" t="str">
        <x:v>R20</x:v>
      </x:c>
      <x:c r="H17" s="14" t="str">
        <x:v>brain-care → heidelbergensis, 700 тыс. лет; «Забота внутри группы — … условие выживания».</x:v>
      </x:c>
      <x:c r="I17" s="14" t="str">
        <x:v>src/data/bodyTraits.ts:543
id: "brain-care"</x:v>
      </x:c>
      <x:c r="J17" s="14" t="str">
        <x:v>Высокая</x:v>
      </x:c>
      <x:c r="K17" s="15" t="str">
        <x:v>Не требуется</x:v>
      </x:c>
      <x:c r="L17" s="14" t="str">
        <x:v>Более раннее вероятное свидетельство отсутствует; поведенческая интерпретация звучит как необходимое объяснение.</x:v>
      </x:c>
      <x:c r="M17" s="14" t="str">
        <x:v>S12 https://antropogenez.ru/fossil/126/</x:v>
      </x:c>
    </x:row>
    <x:row r="18" ht="66" customHeight="1">
      <x:c r="A18" s="9" t="str">
        <x:v>A13</x:v>
      </x:c>
      <x:c r="B18" s="9" t="str">
        <x:v>Язык и возраст узла sapiens</x:v>
      </x:c>
      <x:c r="C18" s="16" t="str">
        <x:v>Уточнить</x:v>
      </x:c>
      <x:c r="D18" s="15" t="str">
        <x:v>Сужено</x:v>
      </x:c>
      <x:c r="E18" s="9" t="str">
        <x:v>Язык у нашего вида — обоснованное общее положение. Но возраст узла 300 тыс. не датирует появление языка, а слуховые данные не доказывают современный синтаксис у неандертальцев. Фраза PDF о появлении языка 130 тыс. — отдельная проблема A25.</x:v>
      </x:c>
      <x:c r="F18" s="9" t="str">
        <x:v>Сохранить язык как характеристику Homo sapiens. Явно написать, что время его возникновения неизвестно; не менять solid для наличия языка на debated для всего тезиса.</x:v>
      </x:c>
      <x:c r="G18" s="17" t="str">
        <x:v>R19</x:v>
      </x:c>
      <x:c r="H18" s="9" t="str">
        <x:v>brain-language → sapiens; confidence=solid; узел датирован 300 тыс. лет.</x:v>
      </x:c>
      <x:c r="I18" s="9" t="str">
        <x:v>src/data/bodyTraits.ts:554
id: "brain-language"
public/assets/materials/path-from-cell-to-human.pdf, с. 15</x:v>
      </x:c>
      <x:c r="J18" s="9" t="str">
        <x:v>Высокая</x:v>
      </x:c>
      <x:c r="K18" s="15" t="str">
        <x:v>Не внесено</x:v>
      </x:c>
      <x:c r="L18" s="9" t="str">
        <x:v>Наличие языка у современных людей, его возникновение и владение им ранними sapiens — разные утверждения.</x:v>
      </x:c>
      <x:c r="M18" s="9" t="str">
        <x:v>S18 https://antropogenez.ru/single-news/article/151/
S14 https://antropogenez.ru/interview/773/</x:v>
      </x:c>
    </x:row>
    <x:row r="19" ht="63" customHeight="1">
      <x:c r="A19" s="14" t="str">
        <x:v>A14</x:v>
      </x:c>
      <x:c r="B19" s="14" t="str">
        <x:v>Символическое поведение и его датировка</x:v>
      </x:c>
      <x:c r="C19" s="16" t="str">
        <x:v>Уточнить</x:v>
      </x:c>
      <x:c r="D19" s="15" t="str">
        <x:v>Сужено</x:v>
      </x:c>
      <x:c r="E19" s="14" t="str">
        <x:v>Символическое поведение sapiens подтверждается археологией; его привязка к виду не доказывает ни начала в 300 тыс., ни отсутствия у других линий. Бруникель подтверждает сложные постройки, но не установленный ритуал.</x:v>
      </x:c>
      <x:c r="F19" s="14" t="str">
        <x:v>Разделить наличие признака и дату древнейшего свидетельства. Не переносить «символизм» целиком на 176 тыс. по одному Бруникелю.</x:v>
      </x:c>
      <x:c r="G19" s="20" t="str">
        <x:v>R24; R58</x:v>
      </x:c>
      <x:c r="H19" s="14" t="str">
        <x:v>brain-symbols → sapiens, 300 тыс. лет, «подтверждено».</x:v>
      </x:c>
      <x:c r="I19" s="14" t="str">
        <x:v>src/data/bodyTraits.ts:565
id: "brain-symbols"</x:v>
      </x:c>
      <x:c r="J19" s="14" t="str">
        <x:v>Высокая</x:v>
      </x:c>
      <x:c r="K19" s="15" t="str">
        <x:v>Не внесено</x:v>
      </x:c>
      <x:c r="L19" s="14" t="str">
        <x:v>Происхождение когнитивной способности нельзя напрямую датировать возрастом вида; она не показана у родственных линий.</x:v>
      </x:c>
      <x:c r="M19" s="14" t="str">
        <x:v>S06 https://antropogenez.ru/article/1144/
S03 https://antropogenez.ru/article/1067/</x:v>
      </x:c>
    </x:row>
    <x:row r="20" ht="63" customHeight="1">
      <x:c r="A20" s="9" t="str">
        <x:v>A15</x:v>
      </x:c>
      <x:c r="B20" s="9" t="str">
        <x:v>Морфология Херто</x:v>
      </x:c>
      <x:c r="C20" s="24" t="str">
        <x:v>Оставить</x:v>
      </x:c>
      <x:c r="D20" s="23" t="str">
        <x:v>Замечание снято</x:v>
      </x:c>
      <x:c r="E20" s="9" t="str">
        <x:v>Фраза о хорошо выраженной современной морфологии Херто совместима с первичной работой 2022 года, которая относит Херто к находкам с несомненными современными диагностическими признаками черепа. Сохранение архаичных черт этому не противоречит.</x:v>
      </x:c>
      <x:c r="F20" s="9" t="str">
        <x:v>Сохранить существующую характеристику. Мозаичность можно раскрыть подробнее, но это не исправление установленной ошибки.</x:v>
      </x:c>
      <x:c r="G20" s="17" t="str">
        <x:v>R01</x:v>
      </x:c>
      <x:c r="H20" s="9" t="str">
        <x:v>«поздние африканские находки Homo sapiens с хорошо выраженной современной морфологией».</x:v>
      </x:c>
      <x:c r="I20" s="9" t="str">
        <x:v>src/data/humanOrigins.ts:64
id: "herto"</x:v>
      </x:c>
      <x:c r="J20" s="9" t="str">
        <x:v>Высокая</x:v>
      </x:c>
      <x:c r="K20" s="15" t="str">
        <x:v>Не требуется</x:v>
      </x:c>
      <x:c r="L20" s="9" t="str">
        <x:v>Текст делает находки похожими на полностью современных людей и обедняет важную мозаичность.</x:v>
      </x:c>
      <x:c r="M20" s="9" t="str">
        <x:v>S17 https://antropogenez.ru/location/208/
S27 https://antropogenez.ru/zveno-single/261/</x:v>
      </x:c>
    </x:row>
    <x:row r="21" ht="63" customHeight="1">
      <x:c r="A21" s="14" t="str">
        <x:v>A16</x:v>
      </x:c>
      <x:c r="B21" s="14" t="str">
        <x:v>Модель африканской мозаики</x:v>
      </x:c>
      <x:c r="C21" s="16" t="str">
        <x:v>Уточнить</x:v>
      </x:c>
      <x:c r="D21" s="15" t="str">
        <x:v>Основа портала подтверждена</x:v>
      </x:c>
      <x:c r="E21" s="14" t="str">
        <x:v>Модель связанных популяций по Африке поддерживается работами 2017 и 2023 годов. Замечание первого аудита о её недостаточной опоре снимается. Неопределённость касается конкретной демографической истории и географии.</x:v>
      </x:c>
      <x:c r="F21" s="14" t="str">
        <x:v>Сохранить африканскую мозаику. При точечной редактуре написать «по одной из поддержанных данными моделей» и добавить первичную ссылку; не возвращаться к единственной локальной колыбели.</x:v>
      </x:c>
      <x:c r="G21" s="20" t="str">
        <x:v>R02; R22</x:v>
      </x:c>
      <x:c r="H21" s="14" t="str">
        <x:v>AFRICA_ORIGIN_NOTE: «современный Homo sapiens складывался в связанных популяциях по континенту».</x:v>
      </x:c>
      <x:c r="I21" s="14" t="str">
        <x:v>src/data/humanOrigins.ts:27
export const AFRICA_ORIGIN_NOTE</x:v>
      </x:c>
      <x:c r="J21" s="14" t="str">
        <x:v>Высокая</x:v>
      </x:c>
      <x:c r="K21" s="15" t="str">
        <x:v>Не внесено</x:v>
      </x:c>
      <x:c r="L21" s="14" t="str">
        <x:v>Африканское происхождение и конкретная континентальная модель имеют разный уровень определённости. У маршрута likely есть, у вводного утверждения оговорки нет.</x:v>
      </x:c>
      <x:c r="M21" s="14" t="str">
        <x:v>S22 https://antropogenez.ru/single-news/article/719/</x:v>
      </x:c>
    </x:row>
    <x:row r="22" ht="117" customHeight="1">
      <x:c r="A22" s="9" t="str">
        <x:v>A17</x:v>
      </x:c>
      <x:c r="B22" s="9" t="str">
        <x:v>Бломбос включён в маршрут 315–160 тыс. лет</x:v>
      </x:c>
      <x:c r="C22" s="19" t="str">
        <x:v>Исправить</x:v>
      </x:c>
      <x:c r="D22" s="18" t="str">
        <x:v>Подтверждено</x:v>
      </x:c>
      <x:c r="E22" s="9" t="str">
        <x:v>Бломбос 100–70 тыс. не входит в заявленные 315–160 тыс. Это внутреннее несоответствие сохраняется при любой модели африканского происхождения. Последовательность точек также не доказана как маршрут миграции.</x:v>
      </x:c>
      <x:c r="F22" s="9" t="str">
        <x:v>Разделить раннюю анатомическую историю и позднейшие культурные свидетельства либо изменить охват с явной маркировкой. Соединения назвать схемой распределения находок, а не установленным маршрутом.</x:v>
      </x:c>
      <x:c r="G22" s="17" t="str">
        <x:v>R59; R02</x:v>
      </x:c>
      <x:c r="H22" s="9" t="str">
        <x:v>african-mosaic соединяет Jebel Irhoud → Omo → Herto → Blombos; дата 315–160 тыс.; Blombos датирован 100–70 тыс.</x:v>
      </x:c>
      <x:c r="I22" s="9" t="str">
        <x:v>src/data/humanOrigins.ts:99
id: "african-mosaic"
src/data/humanOrigins.ts:80
id: "blombos"
src/components/education/AfricaOriginMap.tsx:81
Маршрут {</x:v>
      </x:c>
      <x:c r="J22" s="9" t="str">
        <x:v>Высокая</x:v>
      </x:c>
      <x:c r="K22" s="15" t="str">
        <x:v>Не внесено</x:v>
      </x:c>
      <x:c r="L22" s="9" t="str">
        <x:v>Схематическая оговорка о неточных путях не исправляет несовпадение периодов и не доказывает связи между этими четырьмя точками.</x:v>
      </x:c>
      <x:c r="M22" s="9" t="str">
        <x:v>S22 https://antropogenez.ru/single-news/article/719/</x:v>
      </x:c>
    </x:row>
    <x:row r="23" ht="66" customHeight="1">
      <x:c r="A23" s="14" t="str">
        <x:v>A18</x:v>
      </x:c>
      <x:c r="B23" s="14" t="str">
        <x:v>Спорные ранние находки Восточной Азии</x:v>
      </x:c>
      <x:c r="C23" s="24" t="str">
        <x:v>Оставить</x:v>
      </x:c>
      <x:c r="D23" s="23" t="str">
        <x:v>Замечание снято</x:v>
      </x:c>
      <x:c r="E23" s="14" t="str">
        <x:v>Статус debated соответствует реальному спору. Работа 2021 года о молодых образцах получила методические возражения; в 2026 году опубликована новая U–Th оценка Фуянь старше 130 тыс. Старые 120–40 тыс. нельзя объявить опровергнутыми целиком.</x:v>
      </x:c>
      <x:c r="F23" s="14" t="str">
        <x:v>Сохранить спорный статус и широкую последовательность волн. Добавление Фуянь и ссылок полезно; новую оценку &gt;130 тыс. представить отдельной гипотезой, не как доказанную прямую датировку всех зубов.</x:v>
      </x:c>
      <x:c r="G23" s="20" t="str">
        <x:v>R05; R06; R07</x:v>
      </x:c>
      <x:c r="H23" s="14" t="str">
        <x:v>«120–40 тыс. лет назад, с несколькими волнами», «ранние спорные находки», confidence=debated.</x:v>
      </x:c>
      <x:c r="I23" s="14" t="str">
        <x:v>src/data/humanOrigins.ts:175
id: "east-asia"</x:v>
      </x:c>
      <x:c r="J23" s="14" t="str">
        <x:v>Средняя
Полный текст R05 не изучен; спор о связи натёков, слоя и зубов не разрешён этой проверкой.</x:v>
      </x:c>
      <x:c r="K23" s="15" t="str">
        <x:v>Не требуется</x:v>
      </x:c>
      <x:c r="L23" s="14" t="str">
        <x:v>Оговорка о спорности уже есть. Однако диапазон не различает отвергнутые датировки и сохраняющиеся кандидаты.</x:v>
      </x:c>
      <x:c r="M23" s="14" t="str">
        <x:v>S05 https://antropogenez.ru/article/1143/</x:v>
      </x:c>
    </x:row>
    <x:row r="24" ht="63" customHeight="1">
      <x:c r="A24" s="9" t="str">
        <x:v>A19</x:v>
      </x:c>
      <x:c r="B24" s="9" t="str">
        <x:v>Неандертальцы: боковая линия и генетический вклад</x:v>
      </x:c>
      <x:c r="C24" s="24" t="str">
        <x:v>Оставить</x:v>
      </x:c>
      <x:c r="D24" s="23" t="str">
        <x:v>Замечание снято</x:v>
      </x:c>
      <x:c r="E24" s="9" t="str">
        <x:v>Вопрос говорит о прямой видовой линии предков, а объяснение уже упоминает смешение. Боковая сестринская линия совместима с генетическим вкладом. Наличие интрогрессии не делает этот ответ фактически ложным.</x:v>
      </x:c>
      <x:c r="F24" s="9" t="str">
        <x:v>Сохранить смысл ответа. По желанию уточнить «не основная линия происхождения нашего вида; часть популяций смешивалась с ними».</x:v>
      </x:c>
      <x:c r="G24" s="17" t="str">
        <x:v>R25; R27</x:v>
      </x:c>
      <x:c r="H24" s="9" t="str">
        <x:v>На вопрос «Неандертальцы были нашими прямыми предками?» правильный ответ: «Нет, это близкая боковая ветвь».</x:v>
      </x:c>
      <x:c r="I24" s="9" t="str">
        <x:v>src/data/quiz.ts:292
"Неандертальцы были нашими прямыми предками?"</x:v>
      </x:c>
      <x:c r="J24" s="9" t="str">
        <x:v>Высокая</x:v>
      </x:c>
      <x:c r="K24" s="15" t="str">
        <x:v>Не требуется</x:v>
      </x:c>
      <x:c r="L24" s="9" t="str">
        <x:v>Объяснение теста признаёт смешение, но короткий ответ смешивает происхождение вида и генеалогическое происхождение отдельных людей.</x:v>
      </x:c>
      <x:c r="M24" s="9" t="str">
        <x:v>S38 https://antropogenez.ru/zveno-single/607/</x:v>
      </x:c>
    </x:row>
    <x:row r="25" ht="117" customHeight="1">
      <x:c r="A25" s="14" t="str">
        <x:v>A20</x:v>
      </x:c>
      <x:c r="B25" s="14" t="str">
        <x:v>Ссылки на научные и популярные источники</x:v>
      </x:c>
      <x:c r="C25" s="22" t="str">
        <x:v>Развитие</x:v>
      </x:c>
      <x:c r="D25" s="21" t="str">
        <x:v>Снято как ошибка</x:v>
      </x:c>
      <x:c r="E25" s="14" t="str">
        <x:v>Отсутствие ссылок на выбранный популяризаторский ресурс не является научным расхождением. В портале уже есть первичные источники; некоторые поддерживают более новые данные.</x:v>
      </x:c>
      <x:c r="F25" s="14" t="str">
        <x:v>Для будущих правок показывать рядом первоисточник и обзор Антропогенеза, если он полезен. Не вводить автоматический приоритет любой страницы сайта над рецензируемой работой.</x:v>
      </x:c>
      <x:c r="G25" s="20" t="str">
        <x:v>Внутренняя сверка</x:v>
      </x:c>
      <x:c r="H25" s="14" t="str">
        <x:v>В научных источниках, ссылках карточек и контексте AI-гида нет опорных страниц antropogenez.ru; карточка не выводит свои sources.</x:v>
      </x:c>
      <x:c r="I25" s="14" t="str">
        <x:v>src/data/scienceSources.ts:19
export const
src/components/atlas/StageDetailCard.tsx:21
stage: Omit
src/lib/aiGuideContext.ts:98
function summarizeStage</x:v>
      </x:c>
      <x:c r="J25" s="14" t="str">
        <x:v>Высокая; редакционная политика</x:v>
      </x:c>
      <x:c r="K25" s="15" t="str">
        <x:v>Отдельное решение</x:v>
      </x:c>
      <x:c r="L25" s="14" t="str">
        <x:v>Будущая правка без источника, его версии и конкретного утверждения плохо воспроизводима; AI-гид получает те же исходные обобщения.</x:v>
      </x:c>
      <x:c r="M25" s="14" t="str">
        <x:v>S41 https://antropogenez.ru/zveno/
S09 https://antropogenez.ru/catalog-hominids/</x:v>
      </x:c>
    </x:row>
    <x:row r="26" ht="78.75" customHeight="1">
      <x:c r="A26" s="9" t="str">
        <x:v>A21</x:v>
      </x:c>
      <x:c r="B26" s="9" t="str">
        <x:v>Охват дерева: парантропы</x:v>
      </x:c>
      <x:c r="C26" s="22" t="str">
        <x:v>Развитие</x:v>
      </x:c>
      <x:c r="D26" s="21" t="str">
        <x:v>Снято как ошибка</x:v>
      </x:c>
      <x:c r="E26" s="9" t="str">
        <x:v>Отсутствие отдельной ветви Paranthropus — неполнота выбранной экспозиции, а не неверное утверждение о её существовании.</x:v>
      </x:c>
      <x:c r="F26" s="9" t="str">
        <x:v>Добавление парантропов перенести в список развития дерева. Научные правки от этого не зависят.</x:v>
      </x:c>
      <x:c r="G26" s="17" t="str">
        <x:v>R18</x:v>
      </x:c>
      <x:c r="H26" s="9" t="str">
        <x:v>От «Австралопитеков» маршрут переходит к раннему Homo; самостоятельной ветви Paranthropus нет.</x:v>
      </x:c>
      <x:c r="I26" s="9" t="str">
        <x:v>src/data/lineage.ts:570
id: "australopithecus"
src/lib/cladogram.ts:698
export function buildCladogram</x:v>
      </x:c>
      <x:c r="J26" s="9" t="str">
        <x:v>Высокая</x:v>
      </x:c>
      <x:c r="K26" s="15" t="str">
        <x:v>Отдельное решение</x:v>
      </x:c>
      <x:c r="L26" s="9" t="str">
        <x:v>Упрощение допустимо для короткого маршрута, но дерево слабо показывает параллельное разнообразие ранних гоминин.</x:v>
      </x:c>
      <x:c r="M26" s="9" t="str">
        <x:v>S36 https://antropogenez.ru/zveno-single/58/
S09 https://antropogenez.ru/catalog-hominids/</x:v>
      </x:c>
    </x:row>
    <x:row r="27" ht="63" customHeight="1">
      <x:c r="A27" s="14" t="str">
        <x:v>A22</x:v>
      </x:c>
      <x:c r="B27" s="14" t="str">
        <x:v>Охват дерева: другие линии Homo</x:v>
      </x:c>
      <x:c r="C27" s="22" t="str">
        <x:v>Развитие</x:v>
      </x:c>
      <x:c r="D27" s="21" t="str">
        <x:v>Снято как ошибка</x:v>
      </x:c>
      <x:c r="E27" s="14" t="str">
        <x:v>Отсутствие naledi, floresiensis и luzonensis в кратком дереве не является фактической ошибкой само по себе.</x:v>
      </x:c>
      <x:c r="F27" s="14" t="str">
        <x:v>Добавить при расширении охвата; не включать в обязательное исправление фактов. Флоресскую датировку в уже существующем PDF исправить по A24.</x:v>
      </x:c>
      <x:c r="G27" s="20" t="str">
        <x:v>R21</x:v>
      </x:c>
      <x:c r="H27" s="14" t="str">
        <x:v>Боковые человеческие линии представлены прежде всего неандертальцами и денисовцами; три названные группы отсутствуют.</x:v>
      </x:c>
      <x:c r="I27" s="14" t="str">
        <x:v>src/data/lineage.ts:634
id: "neanderthals"</x:v>
      </x:c>
      <x:c r="J27" s="14" t="str">
        <x:v>Высокая</x:v>
      </x:c>
      <x:c r="K27" s="15" t="str">
        <x:v>Отдельное решение</x:v>
      </x:c>
      <x:c r="L27" s="14" t="str">
        <x:v>Это не ложное утверждение, но исчезает важный пример одновременного разнообразия людей и мозаичной эволюции.</x:v>
      </x:c>
      <x:c r="M27" s="14" t="str">
        <x:v>S10 https://antropogenez.ru/fileadmin/user_upload/Drevo_iyun_2024.pdf
S04 https://antropogenez.ru/article/1116/</x:v>
      </x:c>
    </x:row>
    <x:row r="28" ht="63" customHeight="1">
      <x:c r="A28" s="9" t="str">
        <x:v>A23</x:v>
      </x:c>
      <x:c r="B28" s="9" t="str">
        <x:v>PDF: Homo habilis изготовил первые каменные орудия</x:v>
      </x:c>
      <x:c r="C28" s="19" t="str">
        <x:v>Исправить</x:v>
      </x:c>
      <x:c r="D28" s="18" t="str">
        <x:v>Подтверждено</x:v>
      </x:c>
      <x:c r="E28" s="9" t="str">
        <x:v>Прямое утверждение о первых каменных орудиях H. habilis устарело. Ломекви 3 с орудиями 3,3 млн лет опубликовано в первичной работе 2015 года. Авторство конкретного вида неизвестно.</x:v>
      </x:c>
      <x:c r="F28" s="9" t="str">
        <x:v>Убрать первенство H. habilis: «Каменные орудия известны по меньшей мере с 3,3 млн лет; кто изготовил древнейшие, неизвестно». Роль habilis описать без слова «первые».</x:v>
      </x:c>
      <x:c r="G28" s="17" t="str">
        <x:v>R17</x:v>
      </x:c>
      <x:c r="H28" s="9" t="str">
        <x:v>Основная презентация, с. 11: «Первые каменные орудия», Homo habilis, 2,5 млн; детская, с. 10: «Хомо хабилис сделал первые каменные ножи».</x:v>
      </x:c>
      <x:c r="I28" s="9" t="str">
        <x:v>public/assets/materials/path-from-cell-to-human.pdf, с. 11
public/assets/materials/cell-to-human-kids.pdf, с. 10</x:v>
      </x:c>
      <x:c r="J28" s="9" t="str">
        <x:v>Высокая</x:v>
      </x:c>
      <x:c r="K28" s="15" t="str">
        <x:v>Не внесено</x:v>
      </x:c>
      <x:c r="L28" s="9" t="str">
        <x:v>Прямое устаревшее утверждение о первенстве вида; сильнее, чем неоднозначная привязка в карте признаков.</x:v>
      </x:c>
      <x:c r="M28" s="9" t="str">
        <x:v>S23 https://antropogenez.ru/single-news/article/810/</x:v>
      </x:c>
    </x:row>
    <x:row r="29" ht="63" customHeight="1">
      <x:c r="A29" s="14" t="str">
        <x:v>A24</x:v>
      </x:c>
      <x:c r="B29" s="14" t="str">
        <x:v>PDF: флоресские люди исчезли 17 тыс. лет назад</x:v>
      </x:c>
      <x:c r="C29" s="19" t="str">
        <x:v>Исправить</x:v>
      </x:c>
      <x:c r="D29" s="18" t="str">
        <x:v>Подтверждено</x:v>
      </x:c>
      <x:c r="E29" s="14" t="str">
        <x:v>Первичная передатировка 2016 года отвергла поздние оценки 17 тыс. для последних находок. Известные остатки относятся примерно к 100–60 тыс., связанные орудия — к 190–50 тыс.</x:v>
      </x:c>
      <x:c r="F29" s="14" t="str">
        <x:v>Заменить точную дату исчезновения на диапазоны известных свидетельств; прямо указать, что точное время вымирания не установлено. Не подставлять 50 тыс. как доказанную дату вымирания.</x:v>
      </x:c>
      <x:c r="G29" s="20" t="str">
        <x:v>R21</x:v>
      </x:c>
      <x:c r="H29" s="14" t="str">
        <x:v>Основная презентация, с. 17: «17 тыс. лет назад — Исчезновение флоресийцев».</x:v>
      </x:c>
      <x:c r="I29" s="14" t="str">
        <x:v>public/assets/materials/path-from-cell-to-human.pdf, с. 17</x:v>
      </x:c>
      <x:c r="J29" s="14" t="str">
        <x:v>Высокая</x:v>
      </x:c>
      <x:c r="K29" s="15" t="str">
        <x:v>Не внесено</x:v>
      </x:c>
      <x:c r="L29" s="14" t="str">
        <x:v>Слайд воспроизводит отменённую интерпретацию поздних дат. Последняя находка сама по себе не устанавливает точный момент вымирания.</x:v>
      </x:c>
      <x:c r="M29" s="14" t="str">
        <x:v>S20 https://antropogenez.ru/single-news/article/566/
S10 https://antropogenez.ru/fileadmin/user_upload/Drevo_iyun_2024.pdf</x:v>
      </x:c>
    </x:row>
    <x:row r="30" ht="66" customHeight="1">
      <x:c r="A30" s="9" t="str">
        <x:v>A25</x:v>
      </x:c>
      <x:c r="B30" s="9" t="str">
        <x:v>PDF: охотничьи рисунки 130 тыс. лет назад</x:v>
      </x:c>
      <x:c r="C30" s="19" t="str">
        <x:v>Исправить</x:v>
      </x:c>
      <x:c r="D30" s="18" t="str">
        <x:v>Подтверждено с уточнением</x:v>
      </x:c>
      <x:c r="E30" s="9" t="str">
        <x:v>Охотничьи рисунки 130 тыс. не подтверждены найденными работами. Данные 2024 года: сюжетная сцена ≥51,2 тыс. и другая сцена с охотничьей интерпретацией ≥48 тыс. Трафарет руки ≥67,8 тыс. опубликован в 2026 году. Украшения ≥142 тыс. реальны: их не следует заодно переносить на позднюю дату.</x:v>
      </x:c>
      <x:c r="F30" s="9" t="str">
        <x:v>Разнести украшения, рисунки, погребения и язык. Для сцен дать конкретный памятник и минимальный возраст; время возникновения языка обозначить неизвестным. Погребения проверять по конкретной находке, не привязывать весь комплекс к 130 тыс.</x:v>
      </x:c>
      <x:c r="G30" s="17" t="str">
        <x:v>R08; R09; R24; R19</x:v>
      </x:c>
      <x:c r="H30" s="9" t="str">
        <x:v>С. 15: «130 тыс. лет назад … рисуют охотничьи сцены. Появляется язык, похоронные обряды».</x:v>
      </x:c>
      <x:c r="I30" s="9" t="str">
        <x:v>public/assets/materials/path-from-cell-to-human.pdf, с. 15</x:v>
      </x:c>
      <x:c r="J30" s="9" t="str">
        <x:v>Высокая</x:v>
      </x:c>
      <x:c r="K30" s="15" t="str">
        <x:v>Не внесено</x:v>
      </x:c>
      <x:c r="L30" s="9" t="str">
        <x:v>Разные свидетельства искусства, украшений, погребений и речи объединены одной недоказанной датой.</x:v>
      </x:c>
      <x:c r="M30" s="9" t="str">
        <x:v>S04 https://antropogenez.ru/article/1116/
S18 https://antropogenez.ru/single-news/article/151/</x:v>
      </x:c>
    </x:row>
    <x:row r="31" ht="66" customHeight="1">
      <x:c r="A31" s="14" t="str">
        <x:v>A26</x:v>
      </x:c>
      <x:c r="B31" s="14" t="str">
        <x:v>PDF: полностью современный комплекс уже 300 тыс. лет назад</x:v>
      </x:c>
      <x:c r="C31" s="19" t="str">
        <x:v>Исправить</x:v>
      </x:c>
      <x:c r="D31" s="18" t="str">
        <x:v>Подтверждено в узкой формулировке</x:v>
      </x:c>
      <x:c r="E31" s="14" t="str">
        <x:v>Начало истории ранних H. sapiens около 300 тыс. подтверждено. Ошибка — приписать этой отметке одновременно весь современный анатомический и художественный комплекс. Джебель-Ирхуд имеет мозаичную анатомию; известные украшения и рисунки датируются отдельно.</x:v>
      </x:c>
      <x:c r="F31" s="14" t="str">
        <x:v>Сохранить 300 тыс. для ранних sapiens. Развести формирование анатомии и археологические свидетельства поведения. В детском PDF уточнить, что рисунки появились в более поздней части истории вида.</x:v>
      </x:c>
      <x:c r="G31" s="20" t="str">
        <x:v>R22; R23; R24; R09</x:v>
      </x:c>
      <x:c r="H31" s="14" t="str">
        <x:v>С. 14 основной: высокий лоб, грацильная анатомия, символизм и украшения при 300 тыс.; детская с. 11 соединяет эту дату с рисованием на стенах.</x:v>
      </x:c>
      <x:c r="I31" s="14" t="str">
        <x:v>public/assets/materials/path-from-cell-to-human.pdf, с. 14
public/assets/materials/cell-to-human-kids.pdf, с. 11</x:v>
      </x:c>
      <x:c r="J31" s="14" t="str">
        <x:v>Высокая</x:v>
      </x:c>
      <x:c r="K31" s="15" t="str">
        <x:v>Не внесено</x:v>
      </x:c>
      <x:c r="L31" s="14" t="str">
        <x:v>Становление вида превращено в одномоментное появление сегодняшней анатомии и поздних культурных практик.</x:v>
      </x:c>
      <x:c r="M31" s="14" t="str">
        <x:v>S21 https://antropogenez.ru/single-news/article/680/
S22 https://antropogenez.ru/single-news/article/719/</x:v>
      </x:c>
    </x:row>
    <x:row r="32" ht="78.75" customHeight="1">
      <x:c r="A32" s="9" t="str">
        <x:v>A27</x:v>
      </x:c>
      <x:c r="B32" s="9" t="str">
        <x:v>PDF: реконструированный таз сахелантропа выдан за свидетельство</x:v>
      </x:c>
      <x:c r="C32" s="19" t="str">
        <x:v>Исправить</x:v>
      </x:c>
      <x:c r="D32" s="18" t="str">
        <x:v>Подтверждено только для свидетельства</x:v>
      </x:c>
      <x:c r="E32" s="9" t="str">
        <x:v>Научный PDF показывает таз как свидетельство Sahelanthropus. Первичная работа января 2026 года усиливает доводы за двуногость, но опирается на другие кости. Поэтому замечание к приписанному тазу сохраняется, а отрицание двуногости было бы неверным.</x:v>
      </x:c>
      <x:c r="F32" s="9" t="str">
        <x:v>Заменить таз реальными исследованными костями с источником либо явно назвать изображение условной реконструкцией. Двуногость описать как поддержанную исследованиями интерпретацию. Переноску инструментов не выдавать за установленное поведение вида.</x:v>
      </x:c>
      <x:c r="G32" s="17" t="str">
        <x:v>R16</x:v>
      </x:c>
      <x:c r="H32" s="9" t="str">
        <x:v>Научная презентация, с. 11: таз с подписью Sahelanthropus и «Evidence of habitual bipedalism». Детская с. 9 связывает его прямохождение с переноской инструментов.</x:v>
      </x:c>
      <x:c r="I32" s="9" t="str">
        <x:v>public/assets/materials/homo-luca-sapiens.pdf, с. 11
public/assets/materials/cell-to-human-kids.pdf, с. 9
public/assets/materials/path-from-cell-to-human.pdf, с. 10</x:v>
      </x:c>
      <x:c r="J32" s="9" t="str">
        <x:v>Высокая</x:v>
      </x:c>
      <x:c r="K32" s="15" t="str">
        <x:v>Не внесено</x:v>
      </x:c>
      <x:c r="L32" s="9" t="str">
        <x:v>Таз другого эволюционного этапа выглядит как реально известный таз сахелантропа; поведенческие детали дополнительно не обоснованы.</x:v>
      </x:c>
      <x:c r="M32" s="9" t="str">
        <x:v>S25 https://antropogenez.ru/zveno-single/19/
S33 https://antropogenez.ru/zveno-single/55/</x:v>
      </x:c>
    </x:row>
    <x:row r="33" ht="63" customHeight="1">
      <x:c r="A33" s="14" t="str">
        <x:v>A28</x:v>
      </x:c>
      <x:c r="B33" s="14" t="str">
        <x:v>Детский PDF: тиктаалик — первая рыба на суше и всеобщая прабабушка</x:v>
      </x:c>
      <x:c r="C33" s="19" t="str">
        <x:v>Исправить</x:v>
      </x:c>
      <x:c r="D33" s="18" t="str">
        <x:v>Подтверждено</x:v>
      </x:c>
      <x:c r="E33" s="14" t="str">
        <x:v>Tiktaalik информативен как переходная форма, но не доказан как первый вышедший на сушу или прямой предок всех зверей. Плавники и лёгкие — разные органы; формула «руки-лёгкие» вводит в заблуждение.</x:v>
      </x:c>
      <x:c r="F33" s="14" t="str">
        <x:v>Написать: «Рыба с сочетанием признаков рыб и ранних четвероногих; её плавники помогали опираться на дно и показывают этап преобразования конечностей». Убрать установленное первенство и буквальную прабабушку.</x:v>
      </x:c>
      <x:c r="G33" s="20" t="str">
        <x:v>R36; R37</x:v>
      </x:c>
      <x:c r="H33" s="14" t="str">
        <x:v>С. 5: «Первая выбралась из воды благодаря “рукам-лёгким”»; «Стала прабабушкой всех зверей…».</x:v>
      </x:c>
      <x:c r="I33" s="14" t="str">
        <x:v>public/assets/materials/cell-to-human-kids.pdf, с. 5</x:v>
      </x:c>
      <x:c r="J33" s="14" t="str">
        <x:v>Высокая</x:v>
      </x:c>
      <x:c r="K33" s="15" t="str">
        <x:v>Не внесено</x:v>
      </x:c>
      <x:c r="L33" s="14" t="str">
        <x:v>Переходная форма превращена в установленного прямого предка и единственного первопроходца; плавники и дыхание смешаны в несуществующий орган.</x:v>
      </x:c>
      <x:c r="M33" s="14" t="str">
        <x:v>S01 https://antropogenez.ru/article/1001/</x:v>
      </x:c>
    </x:row>
    <x:row r="34" ht="63" customHeight="1">
      <x:c r="A34" s="9" t="str">
        <x:v>A29</x:v>
      </x:c>
      <x:c r="B34" s="9" t="str">
        <x:v>Научный PDF: одинаковая архаичная примесь у всех sapiens</x:v>
      </x:c>
      <x:c r="C34" s="19" t="str">
        <x:v>Исправить</x:v>
      </x:c>
      <x:c r="D34" s="18" t="str">
        <x:v>Подтверждено</x:v>
      </x:c>
      <x:c r="E34" s="9" t="str">
        <x:v>Одинаковые 2–4% неандертальских и 0,2% денисовских последовательностей у всех современных людей неверны как универсальная характеристика. Доли зависят от популяции, индивида и метода; денисовское наследие у некоторых групп существенно выше.</x:v>
      </x:c>
      <x:c r="F34" s="9" t="str">
        <x:v>Указать популяции и метрику для каждого значения либо заменить универсальные числа описанием неодинаковой примеси. Не смешивать процент у индивида с суммой сохранившихся фрагментов во всей популяции.</x:v>
      </x:c>
      <x:c r="G34" s="17" t="str">
        <x:v>R27</x:v>
      </x:c>
      <x:c r="H34" s="9" t="str">
        <x:v>С. 18: «Современный Homo sapiens несёт 2–4% неандертальских и 0.2% денисовских последовательностей».</x:v>
      </x:c>
      <x:c r="I34" s="9" t="str">
        <x:v>public/assets/materials/homo-luca-sapiens.pdf, с. 18</x:v>
      </x:c>
      <x:c r="J34" s="9" t="str">
        <x:v>Высокая</x:v>
      </x:c>
      <x:c r="K34" s="15" t="str">
        <x:v>Не внесено</x:v>
      </x:c>
      <x:c r="L34" s="9" t="str">
        <x:v>Процент представлен свойством всего вида; не указаны популяция, метод и интервал оценки.</x:v>
      </x:c>
      <x:c r="M34" s="9" t="str">
        <x:v>S38 https://antropogenez.ru/zveno-single/607/</x:v>
      </x:c>
    </x:row>
    <x:row r="35" ht="104.25" customHeight="1">
      <x:c r="A35" s="14" t="str">
        <x:v>A30</x:v>
      </x:c>
      <x:c r="B35" s="14" t="str">
        <x:v>Постер дерева: перепутан порядок крупных узлов</x:v>
      </x:c>
      <x:c r="C35" s="19" t="str">
        <x:v>Исправить</x:v>
      </x:c>
      <x:c r="D35" s="18" t="str">
        <x:v>Подтверждено</x:v>
      </x:c>
      <x:c r="E35" s="14" t="str">
        <x:v>Порядок узлов на постере противоречит вложенности групп и правильной последовательности в данных самого портала. Более новая датировка не может поместить эутериев раньше млекопитающих и амниот как предков этих групп.</x:v>
      </x:c>
      <x:c r="F35" s="14" t="str">
        <x:v>Пересобрать ствол по вложенности: амниоты → синапсиды/терапсиды → цинодонты → млекопитающие → эутерии. Переустановить геологическую шкалу; даты проверять отдельно от порядка.</x:v>
      </x:c>
      <x:c r="G35" s="20" t="str">
        <x:v>R44</x:v>
      </x:c>
      <x:c r="H35" s="14" t="str">
        <x:v>На центральном стволе снизу вверх: первые четвероногие → эутерии → млекопитающие → цинодонты → терапсиды → амниоты. Эукариоты стоят напротив кембрия.</x:v>
      </x:c>
      <x:c r="I35" s="14" t="str">
        <x:v>public/assets/images/cladogram/tree-of-life-poster.png
src/data/treeOfLifePoster.ts:1
export const TREE_OF_LIFE_POSTER
src/data/lineage.ts:311
id: "amniotes"</x:v>
      </x:c>
      <x:c r="J35" s="14" t="str">
        <x:v>Высокая; внутренняя сверка и анатомическая преемственность</x:v>
      </x:c>
      <x:c r="K35" s="15" t="str">
        <x:v>Не внесено</x:v>
      </x:c>
      <x:c r="L35" s="14" t="str">
        <x:v>Постер противоречит собственным данным портала; геологическая колонка создаёт ложные соответствия высот и возраста. Это дополнительная внутренняя проверка, не отдельная датировка из Антропогенеза.</x:v>
      </x:c>
      <x:c r="M35" s="14" t="str"/>
    </x:row>
    <x:row r="36" ht="63" customHeight="1">
      <x:c r="A36" s="9" t="str">
        <x:v>A31</x:v>
      </x:c>
      <x:c r="B36" s="9" t="str">
        <x:v>PDF вымираний: шестое вымирание отнесено к мезозою</x:v>
      </x:c>
      <x:c r="C36" s="19" t="str">
        <x:v>Исправить</x:v>
      </x:c>
      <x:c r="D36" s="18" t="str">
        <x:v>Подтверждено</x:v>
      </x:c>
      <x:c r="E36" s="9" t="str">
        <x:v>Мел-палеогеновый кризис относится к пятёрке больших древних вымираний. В том же материале шестое связано с современностью; заголовки с. 8 и 12 внутренне несовместимы с этой схемой.</x:v>
      </x:c>
      <x:c r="F36" s="9" t="str">
        <x:v>Исправить нумерацию: конец триаса — четвёртое, K–Pg — пятое в принятой последовательности пяти. Современный кризис обсуждать отдельно как шестое.</x:v>
      </x:c>
      <x:c r="G36" s="17" t="str">
        <x:v>R45</x:v>
      </x:c>
      <x:c r="H36" s="9" t="str">
        <x:v>С. 8 озаглавлена «Шестое массовое вымирание» среди древних кризисов; с. 12 — «Шестое массовое вымирание (мел-палеогеновое)».</x:v>
      </x:c>
      <x:c r="I36" s="9" t="str">
        <x:v>public/assets/materials/six-planet-apocalypses.pdf, с. 8
public/assets/materials/six-planet-apocalypses.pdf, с. 12</x:v>
      </x:c>
      <x:c r="J36" s="9" t="str">
        <x:v>Высокая</x:v>
      </x:c>
      <x:c r="K36" s="15" t="str">
        <x:v>Не внесено</x:v>
      </x:c>
      <x:c r="L36" s="9" t="str">
        <x:v>Название шестого кризиса перепутано с древними событиями; слайд 14 того же файла уже относит шестое к человеческому воздействию.</x:v>
      </x:c>
      <x:c r="M36" s="9" t="str">
        <x:v>S11 https://antropogenez.ru/forum17-itogi/</x:v>
      </x:c>
    </x:row>
    <x:row r="37" ht="66" customHeight="1">
      <x:c r="A37" s="14" t="str">
        <x:v>A32</x:v>
      </x:c>
      <x:c r="B37" s="14" t="str">
        <x:v>PDF вымираний: исчезновение архозавров освободило место динозаврам</x:v>
      </x:c>
      <x:c r="C37" s="19" t="str">
        <x:v>Исправить</x:v>
      </x:c>
      <x:c r="D37" s="18" t="str">
        <x:v>Подтверждено</x:v>
      </x:c>
      <x:c r="E37" s="14" t="str">
        <x:v>Динозавры входят в архозавров; птицы продолжают их живую ветвь. Исчезновение части архозавров нельзя назвать исчезновением всей группы и противопоставить динозаврам.</x:v>
      </x:c>
      <x:c r="F37" s="14" t="str">
        <x:v>Указать, какие конкурирующие ветви вымерли в конце триаса. Заменить «конец эпохи архозавров» точным описанием смены состава наземных фаун.</x:v>
      </x:c>
      <x:c r="G37" s="20" t="str">
        <x:v>R38</x:v>
      </x:c>
      <x:c r="H37" s="14" t="str">
        <x:v>С. 8: «Исчезновение архозавров» → «Освобождение ниши для динозавров», «Конец эпохи архозавров».</x:v>
      </x:c>
      <x:c r="I37" s="14" t="str">
        <x:v>public/assets/materials/six-planet-apocalypses.pdf, с. 8
src/data/dinosaurLineage.ts:89
id: "archosaurs"</x:v>
      </x:c>
      <x:c r="J37" s="14" t="str">
        <x:v>Высокая</x:v>
      </x:c>
      <x:c r="K37" s="15" t="str">
        <x:v>Не внесено</x:v>
      </x:c>
      <x:c r="L37" s="14" t="str">
        <x:v>Противопоставлены содержащая группа и её часть; архозавры не исчезли целиком.</x:v>
      </x:c>
      <x:c r="M37" s="14" t="str">
        <x:v>S02 https://antropogenez.ru/article/1026/</x:v>
      </x:c>
    </x:row>
    <x:row r="38" ht="66" customHeight="1">
      <x:c r="A38" s="9" t="str">
        <x:v>A33</x:v>
      </x:c>
      <x:c r="B38" s="9" t="str">
        <x:v>Огонь и приготовление пищи около 800 тыс.</x:v>
      </x:c>
      <x:c r="C38" s="24" t="str">
        <x:v>Оставить</x:v>
      </x:c>
      <x:c r="D38" s="23" t="str">
        <x:v>Замечание снято</x:v>
      </x:c>
      <x:c r="E38" s="9" t="str">
        <x:v>Отметка около 800 тыс. для огня и приготовления пищи имеет первичную опору: приготовление рыбы около 780 тыс. Слайд не утверждает, что это первое использование огня вообще. Вероятное использование огня у erectus не означает первое появление в 1,9 млн.</x:v>
      </x:c>
      <x:c r="F38" s="9" t="str">
        <x:v>Сохранить дату как конкретное свидетельство; полезно назвать памятник Гешер-Бенот-Яаков. Не заменять 800 тыс. на 1,9 млн как новую точную дату освоения огня.</x:v>
      </x:c>
      <x:c r="G38" s="17" t="str">
        <x:v>R04</x:v>
      </x:c>
      <x:c r="H38" s="9" t="str">
        <x:v>Основной PDF, с. 12: «800 тыс. лет назад: Освоение огня и приготовление пищи»; в карточке erectus 1,9 млн — «вероятное использование огня».</x:v>
      </x:c>
      <x:c r="I38" s="9" t="str">
        <x:v>public/assets/materials/path-from-cell-to-human.pdf, с. 12
src/data/lineage.ts:604
id: "erectus"</x:v>
      </x:c>
      <x:c r="J38" s="9" t="str">
        <x:v>Высокая</x:v>
      </x:c>
      <x:c r="K38" s="15" t="str">
        <x:v>Не требуется</x:v>
      </x:c>
      <x:c r="L38" s="9" t="str">
        <x:v>Находка обожжённого материала, контроль огня, регулярное приготовление и самостоятельное добывание огня — разные события.</x:v>
      </x:c>
      <x:c r="M38" s="9" t="str">
        <x:v>S24 https://antropogenez.ru/zveno-single/129/</x:v>
      </x:c>
    </x:row>
    <x:row r="39" ht="78.75" customHeight="1">
      <x:c r="A39" s="14" t="str">
        <x:v>D01</x:v>
      </x:c>
      <x:c r="B39" s="14" t="str">
        <x:v>Возраст и определение Homo sapiens</x:v>
      </x:c>
      <x:c r="C39" s="24" t="str">
        <x:v>Оставить</x:v>
      </x:c>
      <x:c r="D39" s="23" t="str">
        <x:v>Портал подтверждён</x:v>
      </x:c>
      <x:c r="E39" s="14" t="str">
        <x:v>300 тыс. — обоснованное округление для ранних H. sapiens; публикации Джебель-Ирхуда 2017 года новее старой отметки 100 тыс. Критерий ранних представителей вида отличается от полного современного комплекса.</x:v>
      </x:c>
      <x:c r="F39" s="14" t="str">
        <x:v>Сохранить 300 тыс.; анатомические и поведенческие нюансы исправлять по A26, не омолаживая вид.</x:v>
      </x:c>
      <x:c r="G39" s="20" t="str">
        <x:v>R22; R23</x:v>
      </x:c>
      <x:c r="H39" s="14" t="str">
        <x:v>Портал: 300 тыс. лет; Jebel Irhoud около 315 тыс.</x:v>
      </x:c>
      <x:c r="I39" s="14" t="str">
        <x:v>src/data/lineage.ts:669
id: "sapiens"
src/data/humanOrigins.ts:32
id: "jebel-irhoud"</x:v>
      </x:c>
      <x:c r="J39" s="14" t="str">
        <x:v>Высокая</x:v>
      </x:c>
      <x:c r="K39" s="15" t="str">
        <x:v>Не требуется</x:v>
      </x:c>
      <x:c r="L39" s="14" t="str">
        <x:v>На одном ресурсе различаются дата находки, определение вида и авторская интерпретация.</x:v>
      </x:c>
      <x:c r="M39" s="14" t="str">
        <x:v>S09 https://antropogenez.ru/catalog-hominids/
S21 https://antropogenez.ru/single-news/article/680/</x:v>
      </x:c>
    </x:row>
    <x:row r="40" ht="63" customHeight="1">
      <x:c r="A40" s="9" t="str">
        <x:v>D02</x:v>
      </x:c>
      <x:c r="B40" s="9" t="str">
        <x:v>Омо: 233 тыс. против старых 195 тыс.</x:v>
      </x:c>
      <x:c r="C40" s="24" t="str">
        <x:v>Оставить</x:v>
      </x:c>
      <x:c r="D40" s="23" t="str">
        <x:v>Портал актуальнее</x:v>
      </x:c>
      <x:c r="E40" s="9" t="str">
        <x:v>Омо I имеет оценку минимального возраста 233±22 тыс. по работе 2022 года. Это возраст перекрывающего туфа, значит находка старше него; прежние около 195–197 тыс. заменять обратно нельзя.</x:v>
      </x:c>
      <x:c r="F40" s="9" t="str">
        <x:v>Сохранить «233 тыс. или старше» и при необходимости добавить погрешность и метод.</x:v>
      </x:c>
      <x:c r="G40" s="17" t="str">
        <x:v>R01</x:v>
      </x:c>
      <x:c r="H40" s="9" t="str">
        <x:v>Портал корректно говорит «233 тыс. или старше (нижняя оценка)».</x:v>
      </x:c>
      <x:c r="I40" s="9" t="str">
        <x:v>src/data/humanOrigins.ts:48
id: "omo-kibish"</x:v>
      </x:c>
      <x:c r="J40" s="9" t="str">
        <x:v>Высокая</x:v>
      </x:c>
      <x:c r="K40" s="15" t="str">
        <x:v>Не требуется</x:v>
      </x:c>
      <x:c r="L40" s="9" t="str">
        <x:v>Это пересмотр датировки; здесь проверен также первоисточник, уже указанный на портале.</x:v>
      </x:c>
      <x:c r="M40" s="9" t="str">
        <x:v>S27 https://antropogenez.ru/zveno-single/261/
S42 https://www.nature.com/articles/s41586-021-04275-8</x:v>
      </x:c>
    </x:row>
    <x:row r="41" ht="63" customHeight="1">
      <x:c r="A41" s="14" t="str">
        <x:v>D03</x:v>
      </x:c>
      <x:c r="B41" s="14" t="str">
        <x:v>Homo erectus: 1,9 млн против узкой классификации</x:v>
      </x:c>
      <x:c r="C41" s="24" t="str">
        <x:v>Оставить</x:v>
      </x:c>
      <x:c r="D41" s="23" t="str">
        <x:v>Портал допустим</x:v>
      </x:c>
      <x:c r="E41" s="14" t="str">
        <x:v>Широкая трактовка erectus с африканскими формами не противоречит отметке 1,9 млн. DNH 134 2,04–1,95 млн делает диапазон даже древнее; узкая классификация с отделением ergaster — иная таксономическая конвенция.</x:v>
      </x:c>
      <x:c r="F41" s="14" t="str">
        <x:v>Не заменять 1,9 млн на 1,5 млн. Если узел означает самое раннее свидетельство, обновить пояснение диапазоном около 2,0–1,9 млн и назвать находку.</x:v>
      </x:c>
      <x:c r="G41" s="20" t="str">
        <x:v>R18</x:v>
      </x:c>
      <x:c r="H41" s="14" t="str">
        <x:v>Портал: erectus 1,9 млн; иллюстрация/источники включают африканские формы.</x:v>
      </x:c>
      <x:c r="I41" s="14" t="str">
        <x:v>src/data/lineage.ts:604
id: "erectus"</x:v>
      </x:c>
      <x:c r="J41" s="14" t="str">
        <x:v>Высокая</x:v>
      </x:c>
      <x:c r="K41" s="15" t="str">
        <x:v>Не требуется</x:v>
      </x:c>
      <x:c r="L41" s="14" t="str">
        <x:v>Нельзя сравнивать начало широкого комплекса с датами только его азиатской части.</x:v>
      </x:c>
      <x:c r="M41" s="14" t="str">
        <x:v>S37 https://antropogenez.ru/zveno-single/60/
S09 https://antropogenez.ru/catalog-hominids/</x:v>
      </x:c>
    </x:row>
    <x:row r="42" ht="63" customHeight="1">
      <x:c r="A42" s="9" t="str">
        <x:v>D04</x:v>
      </x:c>
      <x:c r="B42" s="9" t="str">
        <x:v>Гейдельбергский человек: 700 против 800 тыс.</x:v>
      </x:c>
      <x:c r="C42" s="24" t="str">
        <x:v>Оставить</x:v>
      </x:c>
      <x:c r="D42" s="23" t="str">
        <x:v>Портал допустим</x:v>
      </x:c>
      <x:c r="E42" s="9" t="str">
        <x:v>700 тыс. находится в употребительном диапазоне H. heidelbergensis. Отличие от 800 тыс. не доказывает ошибки при неустойчивых границах таксона; спорное положение уже обозначено.</x:v>
      </x:c>
      <x:c r="F42" s="9" t="str">
        <x:v>Сохранить 700 тыс. как округлённый ориентир. Не превращать его в точную дату общего предка sapiens, неандертальцев и денисовцев.</x:v>
      </x:c>
      <x:c r="G42" s="17" t="str">
        <x:v>R40</x:v>
      </x:c>
      <x:c r="H42" s="9" t="str">
        <x:v>Портал: 700 тыс.; положение в дереве уже названо спорным.</x:v>
      </x:c>
      <x:c r="I42" s="9" t="str">
        <x:v>src/data/lineage.ts:619
id: "heidelbergensis"</x:v>
      </x:c>
      <x:c r="J42" s="9" t="str">
        <x:v>Высокая</x:v>
      </x:c>
      <x:c r="K42" s="15" t="str">
        <x:v>Не требуется</x:v>
      </x:c>
      <x:c r="L42" s="9" t="str">
        <x:v>700 тыс. находится внутри интервала; это не доказанная ошибка числа, пока не сказано, что оно означает начало вида.</x:v>
      </x:c>
      <x:c r="M42" s="9" t="str">
        <x:v>S09 https://antropogenez.ru/catalog-hominids/
S39 https://antropogenez.ru/zveno-single/61/</x:v>
      </x:c>
    </x:row>
    <x:row r="43" ht="63" customHeight="1">
      <x:c r="A43" s="14" t="str">
        <x:v>D05</x:v>
      </x:c>
      <x:c r="B43" s="14" t="str">
        <x:v>Неандертальцы: 400 против 130 тыс.</x:v>
      </x:c>
      <x:c r="C43" s="24" t="str">
        <x:v>Оставить</x:v>
      </x:c>
      <x:c r="D43" s="23" t="str">
        <x:v>Портал подтверждён</x:v>
      </x:c>
      <x:c r="E43" s="14" t="str">
        <x:v>Ранняя неандертальская линия прослеживается около 430 тыс. по Сима-де-лос-Уэсос. 400 тыс. на портале разумно; 130 тыс. относится к более узкому понятию классических поздних форм.</x:v>
      </x:c>
      <x:c r="F43" s="14" t="str">
        <x:v>Сохранить 400 тыс.; при расширении разделить раннюю линию и классические морфологические формы.</x:v>
      </x:c>
      <x:c r="G43" s="20" t="str">
        <x:v>R25</x:v>
      </x:c>
      <x:c r="H43" s="14" t="str">
        <x:v>Портал: 400 тыс.; источник в старой таблице: 130–28 тыс.</x:v>
      </x:c>
      <x:c r="I43" s="14" t="str">
        <x:v>src/data/lineage.ts:634
id: "neanderthals"</x:v>
      </x:c>
      <x:c r="J43" s="14" t="str">
        <x:v>Высокая</x:v>
      </x:c>
      <x:c r="K43" s="15" t="str">
        <x:v>Не требуется</x:v>
      </x:c>
      <x:c r="L43" s="14" t="str">
        <x:v>Классические неандертальцы и ранняя линия — разные объекты датирования; поздняя граница старой таблицы тоже требует отдельной актуализации.</x:v>
      </x:c>
      <x:c r="M43" s="14" t="str">
        <x:v>S09 https://antropogenez.ru/catalog-hominids/
S08 https://antropogenez.ru/article/859/</x:v>
      </x:c>
    </x:row>
    <x:row r="44" ht="78.75" customHeight="1">
      <x:c r="A44" s="9" t="str">
        <x:v>D06</x:v>
      </x:c>
      <x:c r="B44" s="9" t="str">
        <x:v>Денисовцы: 300 тыс. не равно дате разделения</x:v>
      </x:c>
      <x:c r="C44" s="16" t="str">
        <x:v>Уточнить</x:v>
      </x:c>
      <x:c r="D44" s="15" t="str">
        <x:v>Не решать простой заменой</x:v>
      </x:c>
      <x:c r="E44" s="9" t="str">
        <x:v>300 тыс. нельзя без пояснения назвать возрастом древнейших известных денисовских остатков или датой разделения. Работа 2025 года указывает около 250 тыс. для мтДНК в слоях и около 200 тыс. для остатков; генетическое разделение с неандертальцами древнее 430 тыс.</x:v>
      </x:c>
      <x:c r="F44" s="9" t="str">
        <x:v>Указать, что датируется: история линии, ДНК в отложениях или остатки. Если речь о свидетельствах пещеры, дать эти две даты; не использовать 700 тыс. heidelbergensis как автоматически доказанного общего предка.</x:v>
      </x:c>
      <x:c r="G44" s="17" t="str">
        <x:v>R10; R25</x:v>
      </x:c>
      <x:c r="H44" s="9" t="str">
        <x:v>Портал: 300 тыс.; общий предковый узел — heidelbergensis 700 тыс.</x:v>
      </x:c>
      <x:c r="I44" s="9" t="str">
        <x:v>src/data/lineage.ts:649
id: "denisovans"
src/lib/cladogram.ts:610
parentId: "heidelbergensis"</x:v>
      </x:c>
      <x:c r="J44" s="9" t="str">
        <x:v>Высокая</x:v>
      </x:c>
      <x:c r="K44" s="15" t="str">
        <x:v>Не внесено</x:v>
      </x:c>
      <x:c r="L44" s="9" t="str">
        <x:v>Возраст представленных находок нельзя читать как время возникновения или расхождения генетической линии.</x:v>
      </x:c>
      <x:c r="M44" s="9" t="str">
        <x:v>S08 https://antropogenez.ru/article/859/</x:v>
      </x:c>
    </x:row>
    <x:row r="45" ht="63" customHeight="1">
      <x:c r="A45" s="14" t="str">
        <x:v>D07</x:v>
      </x:c>
      <x:c r="B45" s="14" t="str">
        <x:v>Сходство ДНК человека и шимпанзе</x:v>
      </x:c>
      <x:c r="C45" s="24" t="str">
        <x:v>Оставить</x:v>
      </x:c>
      <x:c r="D45" s="23" t="str">
        <x:v>Метрика портала корректна</x:v>
      </x:c>
      <x:c r="E45" s="14" t="str">
        <x:v>98–99% для непосредственно сопоставимых участков согласуется с классическим сравнением однонуклеотидных различий. Полные сборки 2025 года расширяют анализ повторов и структурных различий, но не делают другую метрику тождественной этой.</x:v>
      </x:c>
      <x:c r="F45" s="14" t="str">
        <x:v>Сохранить число и оговорку о методе. Не подставлять 94% или процент из полного структурного сравнения без замены определения показателя.</x:v>
      </x:c>
      <x:c r="G45" s="20" t="str">
        <x:v>R41; R26</x:v>
      </x:c>
      <x:c r="H45" s="14" t="str">
        <x:v>Портал: 98–99% для напрямую сопоставимых участков; отдельно описаны другие метрики.</x:v>
      </x:c>
      <x:c r="I45" s="14" t="str">
        <x:v>src/data/genetics.ts:58
export const GENOME_COMPARISONS</x:v>
      </x:c>
      <x:c r="J45" s="14" t="str">
        <x:v>Высокая</x:v>
      </x:c>
      <x:c r="K45" s="15" t="str">
        <x:v>Не требуется</x:v>
      </x:c>
      <x:c r="L45" s="14" t="str">
        <x:v>Разные знаменатели не образуют одного противоречия. Оговорка портала полезна и должна сохраниться.</x:v>
      </x:c>
      <x:c r="M45" s="14" t="str">
        <x:v>S26 https://antropogenez.ru/zveno-single/25/
S07 https://antropogenez.ru/article/75/</x:v>
      </x:c>
    </x:row>
    <x:row r="46" ht="63" customHeight="1">
      <x:c r="A46" s="9" t="str">
        <x:v>D08</x:v>
      </x:c>
      <x:c r="B46" s="9" t="str">
        <x:v>Птицы и динозавры: ресурс содержит несовместимые ответы</x:v>
      </x:c>
      <x:c r="C46" s="24" t="str">
        <x:v>Оставить</x:v>
      </x:c>
      <x:c r="D46" s="23" t="str">
        <x:v>Портал подтверждён</x:v>
      </x:c>
      <x:c r="E46" s="9" t="str">
        <x:v>Птицы вложены в тероподных динозавров в принятой филогенетической модели. Отдельное интервью с противоположным мнением на Антропогенезе не перевешивает совокупность данных.</x:v>
      </x:c>
      <x:c r="F46" s="9" t="str">
        <x:v>Сохранить формулировку о живых тероподных динозаврах.</x:v>
      </x:c>
      <x:c r="G46" s="17" t="str">
        <x:v>R38</x:v>
      </x:c>
      <x:c r="H46" s="9" t="str">
        <x:v>Портал: птицы — живые тероподные динозавры.</x:v>
      </x:c>
      <x:c r="I46" s="9" t="str">
        <x:v>src/data/dinosaurLineage.ts:121
id: "theropods"</x:v>
      </x:c>
      <x:c r="J46" s="9" t="str">
        <x:v>Высокая</x:v>
      </x:c>
      <x:c r="K46" s="15" t="str">
        <x:v>Не требуется</x:v>
      </x:c>
      <x:c r="L46" s="9" t="str">
        <x:v>У выбранного сайта нет единого согласованного ответа на всех страницах. Нельзя молча выбрать устаревшую реплику и переписать целый раздел.</x:v>
      </x:c>
      <x:c r="M46" s="9" t="str">
        <x:v>S15 https://antropogenez.ru/interview/794/
S02 https://antropogenez.ru/article/1026/</x:v>
      </x:c>
    </x:row>
    <x:row r="47" ht="63" customHeight="1">
      <x:c r="A47" s="14" t="str">
        <x:v>D09</x:v>
      </x:c>
      <x:c r="B47" s="14" t="str">
        <x:v>Причины мел-палеогенового вымирания</x:v>
      </x:c>
      <x:c r="C47" s="24" t="str">
        <x:v>Оставить</x:v>
      </x:c>
      <x:c r="D47" s="23" t="str">
        <x:v>Портал подтверждён</x:v>
      </x:c>
      <x:c r="E47" s="14" t="str">
        <x:v>Центральная роль удара Чиксулуб и его климатических последствий имеет независимую исследовательскую опору. Споры о вкладе вулканизма не требуют заменить основной механизм альтернативой из интервью.</x:v>
      </x:c>
      <x:c r="F47" s="14" t="str">
        <x:v>Сохранить астероид в качестве главного непосредственного фактора; вклад других процессов описывать с собственной степенью уверенности.</x:v>
      </x:c>
      <x:c r="G47" s="20" t="str">
        <x:v>R39</x:v>
      </x:c>
      <x:c r="H47" s="14" t="str">
        <x:v>Портал ставит в центр удар астероида и его климатические последствия.</x:v>
      </x:c>
      <x:c r="I47" s="14" t="str">
        <x:v>src/data/extinctions.ts:262
id: "cretaceous-paleogene"</x:v>
      </x:c>
      <x:c r="J47" s="14" t="str">
        <x:v>Высокая</x:v>
      </x:c>
      <x:c r="K47" s="15" t="str">
        <x:v>Не требуется</x:v>
      </x:c>
      <x:c r="L47" s="14" t="str">
        <x:v>Это содержательное расхождение объяснений; найденный ответ сам по себе не доказывает, что изложение портала ошибочно.</x:v>
      </x:c>
      <x:c r="M47" s="14" t="str">
        <x:v>S13 https://antropogenez.ru/interview/1003/</x:v>
      </x:c>
    </x:row>
    <x:row r="48" ht="78.75" customHeight="1">
      <x:c r="A48" s="9" t="str">
        <x:v>V01</x:v>
      </x:c>
      <x:c r="B48" s="9" t="str">
        <x:v>Научный PDF: молекулярные механизмы</x:v>
      </x:c>
      <x:c r="C48" s="26" t="str">
        <x:v>Смешанный блок</x:v>
      </x:c>
      <x:c r="D48" s="25" t="str">
        <x:v>Разобрано по утверждениям</x:v>
      </x:c>
      <x:c r="E48" s="9" t="str">
        <x:v>Проверено 4 подпункта. Подтверждённые конкретные ошибки: V01.1, V01.3. Не установлен точный источник/эффект: V01.4. Остальные выводы уточнены или поддержаны.</x:v>
      </x:c>
      <x:c r="F48" s="9" t="str">
        <x:v>Использовать решения отдельных подпунктов на листе «Детали блоков». Не выполнять прежнее замечание как общую замену всего блока.</x:v>
      </x:c>
      <x:c r="G48" s="17" t="str">
        <x:v>R28; R29; R30; R31; R49; R50</x:v>
      </x:c>
      <x:c r="H48" s="9" t="str">
        <x:v>С. 5: CsB в интроне HoxD13 → shh, CRISPR; с. 6: вителлогенин → ApoB; с. 8: HLA-C/HLA-G в схеме эутериев и отдельная цепочка β-casein 70 млн → рост мозга.</x:v>
      </x:c>
      <x:c r="I48" s="9" t="str">
        <x:v>public/assets/materials/homo-luca-sapiens.pdf, с. 5
public/assets/materials/homo-luca-sapiens.pdf, с. 6
public/assets/materials/homo-luca-sapiens.pdf, с. 8</x:v>
      </x:c>
      <x:c r="J48" s="9" t="str">
        <x:v>Зависит от подпункта</x:v>
      </x:c>
      <x:c r="K48" s="15" t="str">
        <x:v>Отдельное решение</x:v>
      </x:c>
      <x:c r="L48" s="9" t="str">
        <x:v>Очень конкретные генетические и экспериментальные утверждения без библиографии на слайдах. Термины и причинные стрелки требуют независимой проверки.</x:v>
      </x:c>
      <x:c r="M48" s="9" t="str"/>
    </x:row>
    <x:row r="49" ht="63" customHeight="1">
      <x:c r="A49" s="14" t="str">
        <x:v>V02</x:v>
      </x:c>
      <x:c r="B49" s="14" t="str">
        <x:v>Научный PDF: гены и происхождение языка</x:v>
      </x:c>
      <x:c r="C49" s="26" t="str">
        <x:v>Смешанный блок</x:v>
      </x:c>
      <x:c r="D49" s="25" t="str">
        <x:v>Разобрано по утверждениям</x:v>
      </x:c>
      <x:c r="E49" s="14" t="str">
        <x:v>Проверено 3 подпункта. Подтверждённые конкретные ошибки: V02.2. Не установлен точный источник/эффект: V02.3. Остальные выводы уточнены или поддержаны.</x:v>
      </x:c>
      <x:c r="F49" s="14" t="str">
        <x:v>Использовать решения отдельных подпунктов на листе «Детали блоков». Не выполнять прежнее замечание как общую замену всего блока.</x:v>
      </x:c>
      <x:c r="G49" s="20" t="str">
        <x:v>R19; R32; R33</x:v>
      </x:c>
      <x:c r="H49" s="14" t="str">
        <x:v>С. 9: SRGAP2C и рабочая память; с. 17: TBR1/CNTNAP2 обеспечивают рекурсивный синтаксис, FOXP2 sweep около 70 тыс. → расселение.</x:v>
      </x:c>
      <x:c r="I49" s="14" t="str">
        <x:v>public/assets/materials/homo-luca-sapiens.pdf, с. 9
public/assets/materials/homo-luca-sapiens.pdf, с. 17</x:v>
      </x:c>
      <x:c r="J49" s="14" t="str">
        <x:v>Зависит от подпункта</x:v>
      </x:c>
      <x:c r="K49" s="15" t="str">
        <x:v>Отдельное решение</x:v>
      </x:c>
      <x:c r="L49" s="14" t="str">
        <x:v>Связи гена с нейробиологией, речью и историческим расселением поданы как доказанная последовательность. Экспертный материал о FOXP2 подчёркивает ограничения интерпретации.</x:v>
      </x:c>
      <x:c r="M49" s="14" t="str">
        <x:v>S16 https://antropogenez.ru/interview/913/</x:v>
      </x:c>
    </x:row>
    <x:row r="50" ht="78.75" customHeight="1">
      <x:c r="A50" s="9" t="str">
        <x:v>V03</x:v>
      </x:c>
      <x:c r="B50" s="9" t="str">
        <x:v>Научный PDF: фенотипы, геномы и графики</x:v>
      </x:c>
      <x:c r="C50" s="26" t="str">
        <x:v>Смешанный блок</x:v>
      </x:c>
      <x:c r="D50" s="25" t="str">
        <x:v>Разобрано по утверждениям</x:v>
      </x:c>
      <x:c r="E50" s="9" t="str">
        <x:v>Проверено 5 подпункта. Подтверждённые конкретные ошибки: нет. Не установлен точный источник/эффект: V03.1, V03.2, V03.4. Остальные выводы уточнены или поддержаны.</x:v>
      </x:c>
      <x:c r="F50" s="9" t="str">
        <x:v>Использовать решения отдельных подпунктов на листе «Детали блоков». Не выполнять прежнее замечание как общую замену всего блока.</x:v>
      </x:c>
      <x:c r="G50" s="17" t="str">
        <x:v>R34; R51; R52; R53; R54; R57</x:v>
      </x:c>
      <x:c r="H50" s="9" t="str">
        <x:v>С. 13: δ15N костей Turkana, MSTN и эффективность бега; с. 15: Altai/Denisovan, SCN9A, TRPM8, RUNX2, DEFB127; с. 18: направленный отбор polygenic score IQ.</x:v>
      </x:c>
      <x:c r="I50" s="9" t="str">
        <x:v>public/assets/materials/homo-luca-sapiens.pdf, с. 13
public/assets/materials/homo-luca-sapiens.pdf, с. 15
public/assets/materials/homo-luca-sapiens.pdf, с. 18</x:v>
      </x:c>
      <x:c r="J50" s="9" t="str">
        <x:v>Зависит от подпункта</x:v>
      </x:c>
      <x:c r="K50" s="15" t="str">
        <x:v>Отдельное решение</x:v>
      </x:c>
      <x:c r="L50" s="9" t="str">
        <x:v>Не указаны образцы, публикации, величины ошибок и происхождение графиков; название Altai неоднозначно без идентификатора генома.</x:v>
      </x:c>
      <x:c r="M50" s="9" t="str"/>
    </x:row>
    <x:row r="51" ht="155.25" customHeight="1">
      <x:c r="A51" s="14" t="str">
        <x:v>V04</x:v>
      </x:c>
      <x:c r="B51" s="14" t="str">
        <x:v>PDF о поведении: слишком широкие биологические правила</x:v>
      </x:c>
      <x:c r="C51" s="26" t="str">
        <x:v>Смешанный блок</x:v>
      </x:c>
      <x:c r="D51" s="25" t="str">
        <x:v>Разобрано по утверждениям</x:v>
      </x:c>
      <x:c r="E51" s="14" t="str">
        <x:v>Проверено 4 подпункта. Подтверждённые конкретные ошибки: V04.4. Не установлен точный источник/эффект: нет. Остальные выводы уточнены или поддержаны.</x:v>
      </x:c>
      <x:c r="F51" s="14" t="str">
        <x:v>Использовать решения отдельных подпунктов на листе «Детали блоков». Не выполнять прежнее замечание как общую замену всего блока.</x:v>
      </x:c>
      <x:c r="G51" s="20" t="str">
        <x:v>R35; R48; R56</x:v>
      </x:c>
      <x:c r="H51" s="14" t="str">
        <x:v>С. 3: r — «доля общих генов»; с. 4: сёстры 75% без условий; с. 5–6: универсальные стратегии полов; с. 8: Schistocephalus solidus, рачок-бокоплав → утка.</x:v>
      </x:c>
      <x:c r="I51" s="14" t="str">
        <x:v>public/assets/materials/evolutionary-advantage-genes-behavior.pdf, с. 3
public/assets/materials/evolutionary-advantage-genes-behavior.pdf, с. 4
public/assets/materials/evolutionary-advantage-genes-behavior.pdf, с. 5
public/assets/materials/evolutionary-advantage-genes-behavior.pdf, с. 8</x:v>
      </x:c>
      <x:c r="J51" s="14" t="str">
        <x:v>Зависит от подпункта</x:v>
      </x:c>
      <x:c r="K51" s="15" t="str">
        <x:v>Отдельное решение</x:v>
      </x:c>
      <x:c r="L51" s="14" t="str">
        <x:v>Нужно проверить определение родства, условия гаплодиплоидной модели и полный жизненный цикл паразита. Генетическое объяснение поведения не должно становиться универсальным правилом.</x:v>
      </x:c>
      <x:c r="M51" s="14" t="str"/>
    </x:row>
    <x:row r="52" ht="155.25" customHeight="1">
      <x:c r="A52" s="9" t="str">
        <x:v>V05</x:v>
      </x:c>
      <x:c r="B52" s="9" t="str">
        <x:v>Глубокое время: даты и происхождение признаков</x:v>
      </x:c>
      <x:c r="C52" s="26" t="str">
        <x:v>Смешанный блок</x:v>
      </x:c>
      <x:c r="D52" s="25" t="str">
        <x:v>Разобрано по утверждениям</x:v>
      </x:c>
      <x:c r="E52" s="9" t="str">
        <x:v>Проверено 4 подпункта. Подтверждённые конкретные ошибки: нет. Не установлен точный источник/эффект: нет. Остальные выводы уточнены или поддержаны.</x:v>
      </x:c>
      <x:c r="F52" s="9" t="str">
        <x:v>Использовать решения отдельных подпунктов на листе «Детали блоков». Не выполнять прежнее замечание как общую замену всего блока.</x:v>
      </x:c>
      <x:c r="G52" s="17" t="str">
        <x:v>R42; R43; R44; R55</x:v>
      </x:c>
      <x:c r="H52" s="9" t="str">
        <x:v>Лёгкие → tetrapods 365 млн; слуховые косточки → cynodonts 250 млн; кислородная атмосфера → cyanobacteria 2,7 млрд; разные даты эукариот и LUCA на страницах и в PDF.</x:v>
      </x:c>
      <x:c r="I52" s="9" t="str">
        <x:v>src/data/bodyTraits.ts:279
id: "body-lungs"
src/data/bodyTraits.ts:422
id: "senses-ear-bones"
src/data/bodyTraits.ts:158
id: "cells-oxygen"
src/data/luca.ts:17
export const</x:v>
      </x:c>
      <x:c r="J52" s="9" t="str">
        <x:v>Зависит от подпункта</x:v>
      </x:c>
      <x:c r="K52" s="15" t="str">
        <x:v>Отдельное решение</x:v>
      </x:c>
      <x:c r="L52" s="9" t="str">
        <x:v>Датировки ранней жизни и постепенные анатомические преобразования нельзя целиком проверить по антропологическому каталогу. Есть смешение иллюстративных узлов и времени появления признака.</x:v>
      </x:c>
      <x:c r="M52" s="9" t="str"/>
    </x:row>
    <x:row r="53" ht="142.5" customHeight="1">
      <x:c r="A53" s="14" t="str">
        <x:v>V06</x:v>
      </x:c>
      <x:c r="B53" s="14" t="str">
        <x:v>Вымирания: точные проценты и длительности</x:v>
      </x:c>
      <x:c r="C53" s="26" t="str">
        <x:v>Смешанный блок</x:v>
      </x:c>
      <x:c r="D53" s="25" t="str">
        <x:v>Разобрано по утверждениям</x:v>
      </x:c>
      <x:c r="E53" s="14" t="str">
        <x:v>Проверено 4 подпункта. Подтверждённые конкретные ошибки: V06.1. Не установлен точный источник/эффект: V06.3, V06.4. Остальные выводы уточнены или поддержаны.</x:v>
      </x:c>
      <x:c r="F53" s="14" t="str">
        <x:v>Использовать решения отдельных подпунктов на листе «Детали блоков». Не выполнять прежнее замечание как общую замену всего блока.</x:v>
      </x:c>
      <x:c r="G53" s="20" t="str">
        <x:v>R39; R45; R46; R47</x:v>
      </x:c>
      <x:c r="H53" s="14" t="str">
        <x:v>PDF: первая ордовикская волна 85% за 340 тыс.; все виды при пермском 90–96%; доминирование млекопитающих за 185 тыс.; человек разрушил экосистемы быстрее любого астероида.</x:v>
      </x:c>
      <x:c r="I53" s="14" t="str">
        <x:v>public/assets/materials/six-planet-apocalypses.pdf, с. 3
public/assets/materials/six-planet-apocalypses.pdf, с. 7
public/assets/materials/six-planet-apocalypses.pdf, с. 13
public/assets/materials/six-planet-apocalypses.pdf, с. 14
src/data/extinctions.ts:51
export const MASS_EXTINCTIONS</x:v>
      </x:c>
      <x:c r="J53" s="14" t="str">
        <x:v>Зависит от подпункта</x:v>
      </x:c>
      <x:c r="K53" s="15" t="str">
        <x:v>Отдельное решение</x:v>
      </x:c>
      <x:c r="L53" s="14" t="str">
        <x:v>Метрики видов/родов/семейств, географический охват и интервалы смешаны. Форум Антропогенеза специально обращает внимание на несопоставимость масштабов прошлых и нынешнего кризисов.</x:v>
      </x:c>
      <x:c r="M53" s="14" t="str">
        <x:v>S11 https://antropogenez.ru/forum17-itogi/</x:v>
      </x:c>
    </x:row>
  </x:sheetData>
  <x:dataValidations count="1">
    <x:dataValidation type="list" sqref="K6:K53">
      <x:formula1>"Не внесено,Не требуется,Отдельное решение,Принято,В работе,Внесено,Отклонено"</x:formula1>
    </x:dataValidation>
  </x:dataValidations>
  <x:hyperlinks>
    <x:hyperlink ref="M6" r:id="oldSource6"/>
    <x:hyperlink ref="G7" location="'Источники'!A16"/>
    <x:hyperlink ref="M7" r:id="oldSource7"/>
    <x:hyperlink ref="M8" r:id="oldSource8"/>
    <x:hyperlink ref="G9" location="'Источники'!A17"/>
    <x:hyperlink ref="M9" r:id="oldSource9"/>
    <x:hyperlink ref="G10" location="'Источники'!A16"/>
    <x:hyperlink ref="M10" r:id="oldSource10"/>
    <x:hyperlink ref="G11" location="'Источники'!A20"/>
    <x:hyperlink ref="M11" r:id="oldSource11"/>
    <x:hyperlink ref="G12" location="'Источники'!A18"/>
    <x:hyperlink ref="M12" r:id="oldSource12"/>
    <x:hyperlink ref="G13" location="'Источники'!A19"/>
    <x:hyperlink ref="M13" r:id="oldSource13"/>
    <x:hyperlink ref="G14" location="'Источники'!A21"/>
    <x:hyperlink ref="M14" r:id="oldSource14"/>
    <x:hyperlink ref="G15" location="'Источники'!A22"/>
    <x:hyperlink ref="M15" r:id="oldSource15"/>
    <x:hyperlink ref="M16" r:id="oldSource16"/>
    <x:hyperlink ref="G17" location="'Источники'!A25"/>
    <x:hyperlink ref="M17" r:id="oldSource17"/>
    <x:hyperlink ref="G18" location="'Источники'!A24"/>
    <x:hyperlink ref="M18" r:id="oldSource18"/>
    <x:hyperlink ref="G19" location="'Источники'!A29"/>
    <x:hyperlink ref="M19" r:id="oldSource19"/>
    <x:hyperlink ref="G20" location="'Источники'!A6"/>
    <x:hyperlink ref="M20" r:id="oldSource20"/>
    <x:hyperlink ref="G21" location="'Источники'!A7"/>
    <x:hyperlink ref="M21" r:id="oldSource21"/>
    <x:hyperlink ref="G22" location="'Источники'!A64"/>
    <x:hyperlink ref="M22" r:id="oldSource22"/>
    <x:hyperlink ref="G23" location="'Источники'!A10"/>
    <x:hyperlink ref="M23" r:id="oldSource23"/>
    <x:hyperlink ref="G24" location="'Источники'!A30"/>
    <x:hyperlink ref="M24" r:id="oldSource24"/>
    <x:hyperlink ref="M25" r:id="oldSource25"/>
    <x:hyperlink ref="G26" location="'Источники'!A23"/>
    <x:hyperlink ref="M26" r:id="oldSource26"/>
    <x:hyperlink ref="G27" location="'Источники'!A26"/>
    <x:hyperlink ref="M27" r:id="oldSource27"/>
    <x:hyperlink ref="G28" location="'Источники'!A22"/>
    <x:hyperlink ref="M28" r:id="oldSource28"/>
    <x:hyperlink ref="G29" location="'Источники'!A26"/>
    <x:hyperlink ref="M29" r:id="oldSource29"/>
    <x:hyperlink ref="G30" location="'Источники'!A13"/>
    <x:hyperlink ref="M30" r:id="oldSource30"/>
    <x:hyperlink ref="G31" location="'Источники'!A27"/>
    <x:hyperlink ref="M31" r:id="oldSource31"/>
    <x:hyperlink ref="G32" location="'Источники'!A21"/>
    <x:hyperlink ref="M32" r:id="oldSource32"/>
    <x:hyperlink ref="G33" location="'Источники'!A41"/>
    <x:hyperlink ref="M33" r:id="oldSource33"/>
    <x:hyperlink ref="G34" location="'Источники'!A32"/>
    <x:hyperlink ref="M34" r:id="oldSource34"/>
    <x:hyperlink ref="G35" location="'Источники'!A49"/>
    <x:hyperlink ref="G36" location="'Источники'!A50"/>
    <x:hyperlink ref="M36" r:id="oldSource36"/>
    <x:hyperlink ref="G37" location="'Источники'!A43"/>
    <x:hyperlink ref="M37" r:id="oldSource37"/>
    <x:hyperlink ref="G38" location="'Источники'!A9"/>
    <x:hyperlink ref="M38" r:id="oldSource38"/>
    <x:hyperlink ref="G39" location="'Источники'!A27"/>
    <x:hyperlink ref="M39" r:id="oldSource39"/>
    <x:hyperlink ref="G40" location="'Источники'!A6"/>
    <x:hyperlink ref="M40" r:id="oldSource40"/>
    <x:hyperlink ref="G41" location="'Источники'!A23"/>
    <x:hyperlink ref="M41" r:id="oldSource41"/>
    <x:hyperlink ref="G42" location="'Источники'!A45"/>
    <x:hyperlink ref="M42" r:id="oldSource42"/>
    <x:hyperlink ref="G43" location="'Источники'!A30"/>
    <x:hyperlink ref="M43" r:id="oldSource43"/>
    <x:hyperlink ref="G44" location="'Источники'!A15"/>
    <x:hyperlink ref="M44" r:id="oldSource44"/>
    <x:hyperlink ref="G45" location="'Источники'!A46"/>
    <x:hyperlink ref="M45" r:id="oldSource45"/>
    <x:hyperlink ref="G46" location="'Источники'!A43"/>
    <x:hyperlink ref="M46" r:id="oldSource46"/>
    <x:hyperlink ref="G47" location="'Источники'!A44"/>
    <x:hyperlink ref="M47" r:id="oldSource47"/>
    <x:hyperlink ref="G48" location="'Источники'!A33"/>
    <x:hyperlink ref="G49" location="'Источники'!A24"/>
    <x:hyperlink ref="M49" r:id="oldSource49"/>
    <x:hyperlink ref="G50" location="'Источники'!A39"/>
    <x:hyperlink ref="G51" location="'Источники'!A40"/>
    <x:hyperlink ref="G52" location="'Источники'!A47"/>
    <x:hyperlink ref="G53" location="'Источники'!A44"/>
    <x:hyperlink ref="M53" r:id="oldSource53"/>
  </x:hyperlinks>
  <x:pageMargins left="0.7" right="0.7" top="0.75" bottom="0.75" header="0.3" footer="0.3"/>
  <x:tableParts count="1">
    <x:tablePart xmlns:r="http://schemas.openxmlformats.org/officeDocument/2006/relationships" r:id="R455e01b60a9a4c96"/>
  </x:tableParts>
</x:worksheet>
</file>

<file path=xl/worksheets/sheet2.xml><?xml version="1.0" encoding="utf-8"?>
<x:worksheet xmlns:x="http://schemas.openxmlformats.org/spreadsheetml/2006/main">
  <x:sheetPr>
    <x:tabColor rgb="FF8F79A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.25" hidden="0" customWidth="1"/>
    <x:col min="2" max="2" width="40.630001068115234" hidden="0" customWidth="1"/>
    <x:col min="3" max="3" width="18.75" hidden="0" customWidth="1"/>
    <x:col min="4" max="4" width="69.37999725341797" hidden="0" customWidth="1"/>
    <x:col min="5" max="5" width="65" hidden="0" customWidth="1"/>
    <x:col min="6" max="6" width="20" hidden="0" customWidth="1"/>
    <x:col min="7" max="7" width="33.75" hidden="0" customWidth="1"/>
    <x:col min="8" max="8" width="23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3" t="str">
        <x:v>Шесть блоков · 24 отдельных утверждения</x:v>
      </x:c>
      <x:c r="B2" s="1"/>
      <x:c r="C2" s="1"/>
      <x:c r="D2" s="1"/>
      <x:c r="E2" s="1"/>
      <x:c r="F2" s="1"/>
      <x:c r="G2" s="1"/>
      <x:c r="H2" s="1"/>
    </x:row>
    <x:row r="3">
      <x:c r="A3" s="5" t="str">
        <x:v>5 исправить · 11 уточнить · 1 оставить · 7 с неустановленным источником или эффектом. ID V01–V06 связаны с основным листом.</x:v>
      </x:c>
      <x:c r="B3" s="1"/>
      <x:c r="C3" s="1"/>
      <x:c r="D3" s="1"/>
      <x:c r="E3" s="1"/>
      <x:c r="F3" s="1"/>
      <x:c r="G3" s="1"/>
      <x:c r="H3" s="1"/>
    </x:row>
    <x:row r="4">
      <x:c r="A4" s="6"/>
      <x:c r="B4" s="6"/>
      <x:c r="C4" s="6"/>
      <x:c r="D4" s="6"/>
      <x:c r="E4" s="6"/>
      <x:c r="F4" s="6"/>
      <x:c r="G4" s="6"/>
      <x:c r="H4" s="6"/>
    </x:row>
    <x:row r="5" ht="36" customHeight="1">
      <x:c r="A5" s="13" t="str">
        <x:v>ID</x:v>
      </x:c>
      <x:c r="B5" s="13" t="str">
        <x:v>Утверждение</x:v>
      </x:c>
      <x:c r="C5" s="13" t="str">
        <x:v>Решение</x:v>
      </x:c>
      <x:c r="D5" s="13" t="str">
        <x:v>Результат проверки</x:v>
      </x:c>
      <x:c r="E5" s="13" t="str">
        <x:v>Точное действие</x:v>
      </x:c>
      <x:c r="F5" s="13" t="str">
        <x:v>Источники</x:v>
      </x:c>
      <x:c r="G5" s="13" t="str">
        <x:v>Уверенность</x:v>
      </x:c>
      <x:c r="H5" s="13" t="str">
        <x:v>Статус выполнения</x:v>
      </x:c>
    </x:row>
    <x:row r="6" ht="63" customHeight="1">
      <x:c r="A6" s="9" t="str">
        <x:v>V01.1</x:v>
      </x:c>
      <x:c r="B6" s="9" t="str">
        <x:v>CsB / HoxD13 / SHH, с. 5</x:v>
      </x:c>
      <x:c r="C6" s="18" t="str">
        <x:v>Исправить</x:v>
      </x:c>
      <x:c r="D6" s="9" t="str">
        <x:v>Смешаны два регуляторных механизма: CsB связан с Hoxd, а известный регулятор Shh ZRS расположен в LMBR1. Найденные работы не описывают показанный опыт с точечными заменами CsB.</x:v>
      </x:c>
      <x:c r="E6" s="9" t="str">
        <x:v>Развести Hoxd–CsB и Shh–ZRS; эксперимент заменить конкретным опубликованным результатом.</x:v>
      </x:c>
      <x:c r="F6" s="17" t="str">
        <x:v>R28; R29; R49</x:v>
      </x:c>
      <x:c r="G6" s="9" t="str">
        <x:v>Высокая</x:v>
      </x:c>
      <x:c r="H6" s="15" t="str">
        <x:v>Не внесено</x:v>
      </x:c>
    </x:row>
    <x:row r="7" ht="63" customHeight="1">
      <x:c r="A7" s="14" t="str">
        <x:v>V01.2</x:v>
      </x:c>
      <x:c r="B7" s="14" t="str">
        <x:v>Вителлогенин → ApoB, с. 6</x:v>
      </x:c>
      <x:c r="C7" s="15" t="str">
        <x:v>Уточнить</x:v>
      </x:c>
      <x:c r="D7" s="14" t="str">
        <x:v>Эволюционное родство белков реально. Ошибка слайда — изображение перехода как замены у плацентарных, объясняющей появление плацентации.</x:v>
      </x:c>
      <x:c r="E7" s="14" t="str">
        <x:v>Оставить общее происхождение семейства, убрать одноступенчатую связь с возникновением плацентации.</x:v>
      </x:c>
      <x:c r="F7" s="20" t="str">
        <x:v>R31</x:v>
      </x:c>
      <x:c r="G7" s="14" t="str">
        <x:v>Высокая</x:v>
      </x:c>
      <x:c r="H7" s="15" t="str">
        <x:v>Не внесено</x:v>
      </x:c>
    </x:row>
    <x:row r="8" ht="63" customHeight="1">
      <x:c r="A8" s="9" t="str">
        <x:v>V01.3</x:v>
      </x:c>
      <x:c r="B8" s="9" t="str">
        <x:v>HLA-C/HLA-G у древних эутериев, с. 8</x:v>
      </x:c>
      <x:c r="C8" s="18" t="str">
        <x:v>Исправить</x:v>
      </x:c>
      <x:c r="D8" s="9" t="str">
        <x:v>Функции материнско-плодового иммунного взаимодействия реальны; конкретные человеческие локусы нельзя переносить на всех эутериев. Для HLA-C описана намного более поздняя дупликация в линии человекообразных.</x:v>
      </x:c>
      <x:c r="E8" s="9" t="str">
        <x:v>Разделить древнюю историю MHC и поздние человеческие/приматные механизмы. Число 70 млн на слайде относится к соседнему β-casein: прежнее объединение двух блоков было неточным.</x:v>
      </x:c>
      <x:c r="F8" s="17" t="str">
        <x:v>R30</x:v>
      </x:c>
      <x:c r="G8" s="9" t="str">
        <x:v>Высокая</x:v>
      </x:c>
      <x:c r="H8" s="15" t="str">
        <x:v>Не внесено</x:v>
      </x:c>
    </x:row>
    <x:row r="9" ht="63" customHeight="1">
      <x:c r="A9" s="14" t="str">
        <x:v>V01.4</x:v>
      </x:c>
      <x:c r="B9" s="14" t="str">
        <x:v>β-casein 70 млн → увеличение мозга, с. 8</x:v>
      </x:c>
      <x:c r="C9" s="25" t="str">
        <x:v>Не установлено</x:v>
      </x:c>
      <x:c r="D9" s="14" t="str">
        <x:v>Конкретная цепочка, дата отбора и причинный эффект на мозг не подтверждены найденным первоисточником. Сравнительная работа по молоку не является доказательством этой цепочки или её невозможности.</x:v>
      </x:c>
      <x:c r="E9" s="14" t="str">
        <x:v>Не выдавать цепочку за установленную: нужен оригинальный опыт/анализ с датировкой. До этого обозначить гипотезой или убрать причинные стрелки.</x:v>
      </x:c>
      <x:c r="F9" s="20" t="str">
        <x:v>R50</x:v>
      </x:c>
      <x:c r="G9" s="14" t="str">
        <x:v>Недостаточная для фактического вердикта</x:v>
      </x:c>
      <x:c r="H9" s="15" t="str">
        <x:v>Не внесено</x:v>
      </x:c>
    </x:row>
    <x:row r="10" ht="63" customHeight="1">
      <x:c r="A10" s="9" t="str">
        <x:v>V02.1</x:v>
      </x:c>
      <x:c r="B10" s="9" t="str">
        <x:v>SRGAP2C и рабочая память, с. 9</x:v>
      </x:c>
      <x:c r="C10" s="15" t="str">
        <x:v>Уточнить</x:v>
      </x:c>
      <x:c r="D10" s="9" t="str">
        <x:v>Связность нейронов и изменения обучения подтверждены опытами. Работа 2021 года изучает различение текстур у мышей; столбики «Working Memory» 30/50 без единиц и ссылки ею не подтверждены.</x:v>
      </x:c>
      <x:c r="E10" s="9" t="str">
        <x:v>Сохранить экспериментально показанные эффекты, подписать вид и задачу; график рабочей памяти заменить исходным рисунком с корректной атрибуцией.</x:v>
      </x:c>
      <x:c r="F10" s="17" t="str">
        <x:v>R33</x:v>
      </x:c>
      <x:c r="G10" s="9" t="str">
        <x:v>Высокая</x:v>
      </x:c>
      <x:c r="H10" s="15" t="str">
        <x:v>Не внесено</x:v>
      </x:c>
    </x:row>
    <x:row r="11" ht="63" customHeight="1">
      <x:c r="A11" s="14" t="str">
        <x:v>V02.2</x:v>
      </x:c>
      <x:c r="B11" s="14" t="str">
        <x:v>FOXP2 sweep около 70 тыс., с. 17</x:v>
      </x:c>
      <x:c r="C11" s="18" t="str">
        <x:v>Исправить</x:v>
      </x:c>
      <x:c r="D11" s="14" t="str">
        <x:v>Повторный анализ 2018 года не подтвердил прежний сигнал недавнего отбора. Причинная цепочка sweep → вокальное обучение → расселение не установлена.</x:v>
      </x:c>
      <x:c r="E11" s="14" t="str">
        <x:v>Убрать точную дату и доказанную причинность; описать роль FOXP2 отдельно от спорной истории отбора.</x:v>
      </x:c>
      <x:c r="F11" s="20" t="str">
        <x:v>R32</x:v>
      </x:c>
      <x:c r="G11" s="14" t="str">
        <x:v>Высокая</x:v>
      </x:c>
      <x:c r="H11" s="15" t="str">
        <x:v>Не внесено</x:v>
      </x:c>
    </x:row>
    <x:row r="12" ht="63" customHeight="1">
      <x:c r="A12" s="9" t="str">
        <x:v>V02.3</x:v>
      </x:c>
      <x:c r="B12" s="9" t="str">
        <x:v>TBR1/CNTNAP2 обеспечивают рекурсивный синтаксис, с. 17</x:v>
      </x:c>
      <x:c r="C12" s="25" t="str">
        <x:v>Не установлено</x:v>
      </x:c>
      <x:c r="D12" s="9" t="str">
        <x:v>Исследования речевых способностей не устанавливают такого достаточного механизма синтаксиса; первичная работа с точной заявленной связью не найдена. Отсутствие результата поиска не доказывает отсутствия любой роли этих генов.</x:v>
      </x:c>
      <x:c r="E12" s="9" t="str">
        <x:v>Снизить утверждение до участия генов в нейроразвитии только после подбора профильной работы; убрать достаточность для синтаксиса.</x:v>
      </x:c>
      <x:c r="F12" s="17" t="str">
        <x:v>R19</x:v>
      </x:c>
      <x:c r="G12" s="9" t="str">
        <x:v>Недостаточная для точного механизма</x:v>
      </x:c>
      <x:c r="H12" s="15" t="str">
        <x:v>Не внесено</x:v>
      </x:c>
    </x:row>
    <x:row r="13" ht="63" customHeight="1">
      <x:c r="A13" s="14" t="str">
        <x:v>V03.1</x:v>
      </x:c>
      <x:c r="B13" s="14" t="str">
        <x:v>Бег, MSTN и графики, с. 13</x:v>
      </x:c>
      <x:c r="C13" s="25" t="str">
        <x:v>Не установлено</x:v>
      </x:c>
      <x:c r="D13" s="14" t="str">
        <x:v>Точные зависимости теплопотерь и стоимости шага не сопровождаются данными или методом. Подпись «Slow-Twitch (Type II)» внутренне конфликтует с соседним «Type I». Нельзя восстановить данные по общему рассказу об erectus.</x:v>
      </x:c>
      <x:c r="E13" s="14" t="str">
        <x:v>Исправить конфликт подписей; числовые графики публиковать с источником, единицами и моделью. Не переносить экспериментальные эффекты MSTN на ископаемого человека без исследования.</x:v>
      </x:c>
      <x:c r="F13" s="20" t="str">
        <x:v>Исходные данные не найдены</x:v>
      </x:c>
      <x:c r="G13" s="14" t="str">
        <x:v>Недостаточная для численных графиков</x:v>
      </x:c>
      <x:c r="H13" s="15" t="str">
        <x:v>Не внесено</x:v>
      </x:c>
    </x:row>
    <x:row r="14" ht="63" customHeight="1">
      <x:c r="A14" s="9" t="str">
        <x:v>V03.2</x:v>
      </x:c>
      <x:c r="B14" s="9" t="str">
        <x:v>δ15N костей Turkana → уровень 2,5, с. 13</x:v>
      </x:c>
      <x:c r="C14" s="25" t="str">
        <x:v>Не установлено</x:v>
      </x:c>
      <x:c r="D14" s="9" t="str">
        <x:v>Измерять азот в многомиллионной эмали действительно возможно — работа 2025 года. Но она о Стеркфонтейне и Australopithecus, а турканская работа 2020 года измеряет Ca/C в эмали. Это не подтверждает показанные δ15N костей Turkana и уровень 2,5.</x:v>
      </x:c>
      <x:c r="E14" s="9" t="str">
        <x:v>Найти исходные образцы и публикацию графика либо заменить его корректными измерениями с указанием ткани, места и таксона. Не писать, что древняя изотопия вообще невозможна.</x:v>
      </x:c>
      <x:c r="F14" s="17" t="str">
        <x:v>R51; R52</x:v>
      </x:c>
      <x:c r="G14" s="9" t="str">
        <x:v>Высокая для различия методов; данных графика нет</x:v>
      </x:c>
      <x:c r="H14" s="15" t="str">
        <x:v>Не внесено</x:v>
      </x:c>
    </x:row>
    <x:row r="15" ht="63" customHeight="1">
      <x:c r="A15" s="14" t="str">
        <x:v>V03.3</x:v>
      </x:c>
      <x:c r="B15" s="14" t="str">
        <x:v>SCN9A/TRPM8 → денисовская холодоустойчивость, с. 15</x:v>
      </x:c>
      <x:c r="C15" s="15" t="str">
        <x:v>Уточнить</x:v>
      </x:c>
      <x:c r="D15" s="14" t="str">
        <x:v>Существуют первичные работы: SCN9A — неандертальская интрогрессия и боль; TRPM8 — холодовой рецептор и адаптация современных людей. Они не устанавливают показанную единую денисовскую цепочку.</x:v>
      </x:c>
      <x:c r="E15" s="14" t="str">
        <x:v>Разделить таксоны, конкретные варианты и измеренный эффект; не объединять их в подтверждённую реконструкцию денисовского организма.</x:v>
      </x:c>
      <x:c r="F15" s="20" t="str">
        <x:v>R34; R53</x:v>
      </x:c>
      <x:c r="G15" s="14" t="str">
        <x:v>Высокая</x:v>
      </x:c>
      <x:c r="H15" s="15" t="str">
        <x:v>Не внесено</x:v>
      </x:c>
    </x:row>
    <x:row r="16" ht="63" customHeight="1">
      <x:c r="A16" s="9" t="str">
        <x:v>V03.4</x:v>
      </x:c>
      <x:c r="B16" s="9" t="str">
        <x:v>RUNX2 / DEFB127 → денисовский фенотип, с. 15</x:v>
      </x:c>
      <x:c r="C16" s="25" t="str">
        <x:v>Не установлено</x:v>
      </x:c>
      <x:c r="D16" s="9" t="str">
        <x:v>Работа RUNX2 не демонстрирует заявленные причинные мутации: в сопоставленных белках нет аминокислотных различий между тремя линиями. Регуляторные изменения возможны. Конкретная дупликация DEFB127 с указанной компенсацией не найдена.</x:v>
      </x:c>
      <x:c r="E16" s="9" t="str">
        <x:v>Не подменять регуляторную гипотезу доказанным механизмом формы грудной клетки и носа; запросить первоисточник каждой причинной стрелки.</x:v>
      </x:c>
      <x:c r="F16" s="17" t="str">
        <x:v>R54</x:v>
      </x:c>
      <x:c r="G16" s="9" t="str">
        <x:v>Недостаточная для реконструкции фенотипов</x:v>
      </x:c>
      <x:c r="H16" s="15" t="str">
        <x:v>Не внесено</x:v>
      </x:c>
    </x:row>
    <x:row r="17" ht="66" customHeight="1">
      <x:c r="A17" s="14" t="str">
        <x:v>V03.5</x:v>
      </x:c>
      <x:c r="B17" s="14" t="str">
        <x:v>Направленный отбор когнитивных PGS, с. 18</x:v>
      </x:c>
      <x:c r="C17" s="15" t="str">
        <x:v>Уточнить</x:v>
      </x:c>
      <x:c r="D17" s="14" t="str">
        <x:v>Работа Nature 2026 года действительно обнаруживает направленный отбор и изменения комбинаций аллелей, связанных с современными когнитивными показателями, у древних западноевразийцев. Она не доказывает непрерывный рост фактического IQ всего человечества или будущий тренд.</x:v>
      </x:c>
      <x:c r="E17" s="14" t="str">
        <x:v>Сохранить научное основание; назвать выборку, период и показатель. Убрать универсальность восходящего графика и подмену PGS измеренным IQ древних людей.</x:v>
      </x:c>
      <x:c r="F17" s="20" t="str">
        <x:v>R57</x:v>
      </x:c>
      <x:c r="G17" s="14" t="str">
        <x:v>Высокая</x:v>
      </x:c>
      <x:c r="H17" s="15" t="str">
        <x:v>Не внесено</x:v>
      </x:c>
    </x:row>
    <x:row r="18" ht="63" customHeight="1">
      <x:c r="A18" s="9" t="str">
        <x:v>V04.1</x:v>
      </x:c>
      <x:c r="B18" s="9" t="str">
        <x:v>Коэффициент родства r, с. 3</x:v>
      </x:c>
      <x:c r="C18" s="15" t="str">
        <x:v>Уточнить</x:v>
      </x:c>
      <x:c r="D18" s="9" t="str">
        <x:v>«Доля общих генов» — сокращение, которое легко спутать с процентом сходства геномов. В модели важно родство по происхождению относительно сравниваемой популяции.</x:v>
      </x:c>
      <x:c r="E18" s="9" t="str">
        <x:v>Уточнить определение r и не смешивать его с 98–99% сходства ДНК.</x:v>
      </x:c>
      <x:c r="F18" s="17" t="str">
        <x:v>R56</x:v>
      </x:c>
      <x:c r="G18" s="9" t="str">
        <x:v>Высокая</x:v>
      </x:c>
      <x:c r="H18" s="15" t="str">
        <x:v>Не внесено</x:v>
      </x:c>
    </x:row>
    <x:row r="19" ht="63" customHeight="1">
      <x:c r="A19" s="14" t="str">
        <x:v>V04.2</x:v>
      </x:c>
      <x:c r="B19" s="14" t="str">
        <x:v>Родство сестёр 75%, с. 4</x:v>
      </x:c>
      <x:c r="C19" s="15" t="str">
        <x:v>Уточнить</x:v>
      </x:c>
      <x:c r="D19" s="14" t="str">
        <x:v>0,75 корректно для полных сестёр при общем гаплоидном отце в простой гаплодиплоидной модели. Для любых сестёр в колонии число не универсально.</x:v>
      </x:c>
      <x:c r="E19" s="14" t="str">
        <x:v>Добавить условия: общие мать и отец, отсутствие осложняющей инбридинговой/колониальной структуры.</x:v>
      </x:c>
      <x:c r="F19" s="20" t="str">
        <x:v>R48</x:v>
      </x:c>
      <x:c r="G19" s="14" t="str">
        <x:v>Высокая</x:v>
      </x:c>
      <x:c r="H19" s="15" t="str">
        <x:v>Не внесено</x:v>
      </x:c>
    </x:row>
    <x:row r="20" ht="63" customHeight="1">
      <x:c r="A20" s="9" t="str">
        <x:v>V04.3</x:v>
      </x:c>
      <x:c r="B20" s="9" t="str">
        <x:v>Стратегии полов, с. 5–6</x:v>
      </x:c>
      <x:c r="C20" s="15" t="str">
        <x:v>Уточнить</x:v>
      </x:c>
      <x:c r="D20" s="9" t="str">
        <x:v>Игровые стратегии могут быть законным изложением модели. Само их наличие не ошибка; перенос на всех животных или всех людей без условий — чрезмерное обобщение.</x:v>
      </x:c>
      <x:c r="E20" s="9" t="str">
        <x:v>Пометить как модель с заданными затратами размножения, заботой о потомстве и условиями среды; не представлять как неизменное правило для каждого пола.</x:v>
      </x:c>
      <x:c r="F20" s="17" t="str">
        <x:v>R56</x:v>
      </x:c>
      <x:c r="G20" s="9" t="str">
        <x:v>Средняя; проверена логика обобщения, не каждая модель поведения</x:v>
      </x:c>
      <x:c r="H20" s="15" t="str">
        <x:v>Не внесено</x:v>
      </x:c>
    </x:row>
    <x:row r="21" ht="63" customHeight="1">
      <x:c r="A21" s="14" t="str">
        <x:v>V04.4</x:v>
      </x:c>
      <x:c r="B21" s="14" t="str">
        <x:v>Жизненный цикл Schistocephalus solidus, с. 8</x:v>
      </x:c>
      <x:c r="C21" s="18" t="str">
        <x:v>Исправить</x:v>
      </x:c>
      <x:c r="D21" s="14" t="str">
        <x:v>Экспериментальные описания дают обязательную цепочку копепода → трёхиглая колюшка → рыбоядная птица. На слайде бокоплав → утка, стадия рыбы пропущена.</x:v>
      </x:c>
      <x:c r="E21" s="14" t="str">
        <x:v>Перерисовать цикл и хозяев; эффекты прозрачности и подвижности привязать к конкретному эксперименту либо убрать.</x:v>
      </x:c>
      <x:c r="F21" s="20" t="str">
        <x:v>R35</x:v>
      </x:c>
      <x:c r="G21" s="14" t="str">
        <x:v>Высокая</x:v>
      </x:c>
      <x:c r="H21" s="15" t="str">
        <x:v>Не внесено</x:v>
      </x:c>
    </x:row>
    <x:row r="22" ht="63" customHeight="1">
      <x:c r="A22" s="9" t="str">
        <x:v>V05.1</x:v>
      </x:c>
      <x:c r="B22" s="9" t="str">
        <x:v>Лёгкие, 365 млн</x:v>
      </x:c>
      <x:c r="C22" s="15" t="str">
        <x:v>Уточнить</x:v>
      </x:c>
      <x:c r="D22" s="9" t="str">
        <x:v>Лёгкие возникли в истории костных рыб до полноценной наземной жизни. Но карта привязывает «лёгочное дыхание» к этапу четвероногих и не сообщает прямую дату первого лёгкого.</x:v>
      </x:c>
      <x:c r="E22" s="9" t="str">
        <x:v>Сохранить этап наземного освоения, добавить более древнее происхождение органа. Это уточнение A03, а не доказательство неверной даты всех четвероногих.</x:v>
      </x:c>
      <x:c r="F22" s="17" t="str">
        <x:v>R43</x:v>
      </x:c>
      <x:c r="G22" s="9" t="str">
        <x:v>Высокая</x:v>
      </x:c>
      <x:c r="H22" s="15" t="str">
        <x:v>Не внесено</x:v>
      </x:c>
    </x:row>
    <x:row r="23" ht="63" customHeight="1">
      <x:c r="A23" s="14" t="str">
        <x:v>V05.2</x:v>
      </x:c>
      <x:c r="B23" s="14" t="str">
        <x:v>Среднее ухо цинодонтов, 250 млн</x:v>
      </x:c>
      <x:c r="C23" s="23" t="str">
        <x:v>Оставить</x:v>
      </x:c>
      <x:c r="D23" s="14" t="str">
        <x:v>Текст уже говорит о постепенном включении челюстных элементов у поздних цинодонтов и ранних млекопитающих. Моделирование Thrinaxodon 2025 года поддерживает раннюю слуховую функцию около 250 млн.</x:v>
      </x:c>
      <x:c r="E23" s="14" t="str">
        <x:v>Сохранить постепенность. Не подменять её утверждением о полностью отделённом современном среднем ухе в эту дату.</x:v>
      </x:c>
      <x:c r="F23" s="20" t="str">
        <x:v>R44</x:v>
      </x:c>
      <x:c r="G23" s="14" t="str">
        <x:v>Высокая</x:v>
      </x:c>
      <x:c r="H23" s="15" t="str">
        <x:v>Не требуется</x:v>
      </x:c>
    </x:row>
    <x:row r="24" ht="63" customHeight="1">
      <x:c r="A24" s="9" t="str">
        <x:v>V05.3</x:v>
      </x:c>
      <x:c r="B24" s="9" t="str">
        <x:v>Кислородная атмосфера и 2,7 млрд</x:v>
      </x:c>
      <x:c r="C24" s="15" t="str">
        <x:v>Уточнить</x:v>
      </x:c>
      <x:c r="D24" s="9" t="str">
        <x:v>Описание говорит «кислород позже сделал возможной» сложную жизнь, то есть не датирует GOE буквально 2,7 млрд. Фотосинтез и устойчивое накопление кислорода — разные события.</x:v>
      </x:c>
      <x:c r="E24" s="9" t="str">
        <x:v>Отдельно пояснить GOE около 2,4 млрд; назвать атмосферное изменение условием среды, а не анатомическим признаком, унаследованным от цианобактерий.</x:v>
      </x:c>
      <x:c r="F24" s="17" t="str">
        <x:v>R55</x:v>
      </x:c>
      <x:c r="G24" s="9" t="str">
        <x:v>Высокая</x:v>
      </x:c>
      <x:c r="H24" s="15" t="str">
        <x:v>Не внесено</x:v>
      </x:c>
    </x:row>
    <x:row r="25" ht="63" customHeight="1">
      <x:c r="A25" s="14" t="str">
        <x:v>V05.4</x:v>
      </x:c>
      <x:c r="B25" s="14" t="str">
        <x:v>LUCA и эукариоты</x:v>
      </x:c>
      <x:c r="C25" s="15" t="str">
        <x:v>Уточнить</x:v>
      </x:c>
      <x:c r="D25" s="14" t="str">
        <x:v>LUCA около 4,2 млрд уже дан как одна современная модель со ссылкой на работу 2024 года — это корректно. Разные этапы происхождения эукариот также нельзя свести к единственной бесспорной дате.</x:v>
      </x:c>
      <x:c r="E25" s="14" t="str">
        <x:v>Сохранить 4,2 млрд с оговоркой. В других местах согласовать, что именно обозначают 3,8 млрд, 1,8 млрд и иные числа: ранняя жизнь, модель предка, ископаемое свидетельство или эукариогенез. Не заменять их автоматически датой из популярного обзора.</x:v>
      </x:c>
      <x:c r="F25" s="20" t="str">
        <x:v>R42</x:v>
      </x:c>
      <x:c r="G25" s="14" t="str">
        <x:v>Высокая для LUCA; точная универсальная дата эукариогенеза не установлена</x:v>
      </x:c>
      <x:c r="H25" s="15" t="str">
        <x:v>Не внесено</x:v>
      </x:c>
    </x:row>
    <x:row r="26" ht="63" customHeight="1">
      <x:c r="A26" s="9" t="str">
        <x:v>V06.1</x:v>
      </x:c>
      <x:c r="B26" s="9" t="str">
        <x:v>Ордовик: 85% в первой волне за 340 тыс.</x:v>
      </x:c>
      <x:c r="C26" s="18" t="str">
        <x:v>Исправить</x:v>
      </x:c>
      <x:c r="D26" s="9" t="str">
        <x:v>Примерно 85% относится к совокупному морскому кризису с двумя импульсами, а не только первой волне. Отдельная длительность 340 тыс. требует собственной датировки и определения интервала.</x:v>
      </x:c>
      <x:c r="E26" s="9" t="str">
        <x:v>Указать морские виды и весь кризис; не соединять общий процент с длительностью одной фазы без источника.</x:v>
      </x:c>
      <x:c r="F26" s="17" t="str">
        <x:v>R47</x:v>
      </x:c>
      <x:c r="G26" s="9" t="str">
        <x:v>Высокая</x:v>
      </x:c>
      <x:c r="H26" s="15" t="str">
        <x:v>Не внесено</x:v>
      </x:c>
    </x:row>
    <x:row r="27" ht="63" customHeight="1">
      <x:c r="A27" s="14" t="str">
        <x:v>V06.2</x:v>
      </x:c>
      <x:c r="B27" s="14" t="str">
        <x:v>Пермь: 90–96% всех видов</x:v>
      </x:c>
      <x:c r="C27" s="15" t="str">
        <x:v>Уточнить</x:v>
      </x:c>
      <x:c r="D27" s="14" t="str">
        <x:v>Высокие традиционные оценки существуют, но обычно относятся к морским видам и зависят от метода. Работа 2016 года даёт около 81% при иной процедуре. Это не доказательство, что любое старое число 90–96% недопустимо.</x:v>
      </x:c>
      <x:c r="E27" s="14" t="str">
        <x:v>Уточнить объект и метод оценки; писать диапазон опубликованных оценок. Не заменять все числа единственным «правильным» 81%.</x:v>
      </x:c>
      <x:c r="F27" s="20" t="str">
        <x:v>R45</x:v>
      </x:c>
      <x:c r="G27" s="14" t="str">
        <x:v>Высокая</x:v>
      </x:c>
      <x:c r="H27" s="15" t="str">
        <x:v>Не внесено</x:v>
      </x:c>
    </x:row>
    <x:row r="28" ht="63" customHeight="1">
      <x:c r="A28" s="9" t="str">
        <x:v>V06.3</x:v>
      </x:c>
      <x:c r="B28" s="9" t="str">
        <x:v>Млекопитающие доминировали через 185 тыс.</x:v>
      </x:c>
      <x:c r="C28" s="25" t="str">
        <x:v>Не установлено</x:v>
      </x:c>
      <x:c r="D28" s="9" t="str">
        <x:v>Восстановление после K–Pg было неравномерным. Найденная первичная работа описывает конкретный региональный ряд, но не общий срок 185 тыс. до доминирования всех млекопитающих.</x:v>
      </x:c>
      <x:c r="E28" s="9" t="str">
        <x:v>Для точного числа нужен показатель доминирования, регион, данные и статья. До этого заменить на качественное описание постепенного восстановления.</x:v>
      </x:c>
      <x:c r="F28" s="17" t="str">
        <x:v>R46</x:v>
      </x:c>
      <x:c r="G28" s="9" t="str">
        <x:v>Недостаточная для числа 185 тыс.</x:v>
      </x:c>
      <x:c r="H28" s="15" t="str">
        <x:v>Не внесено</x:v>
      </x:c>
    </x:row>
    <x:row r="29" ht="63" customHeight="1">
      <x:c r="A29" s="14" t="str">
        <x:v>V06.4</x:v>
      </x:c>
      <x:c r="B29" s="14" t="str">
        <x:v>Человек быстрее любого астероида</x:v>
      </x:c>
      <x:c r="C29" s="25" t="str">
        <x:v>Не установлено</x:v>
      </x:c>
      <x:c r="D29" s="14" t="str">
        <x:v>Не заданы сопоставимые метрики: исчезновение видов, разрушение местообитаний, площадь или время. Сравнение с мгновенным ударом/последующей климатической катастрофой нельзя доказать одной длительностью в несколько сотен лет.</x:v>
      </x:c>
      <x:c r="E29" s="14" t="str">
        <x:v>Убрать безусловный рекорд; если сравнивать темпы, выбрать одинаковый показатель и опубликованные оценки с неопределённостью.</x:v>
      </x:c>
      <x:c r="F29" s="20" t="str">
        <x:v>R39</x:v>
      </x:c>
      <x:c r="G29" s="14" t="str">
        <x:v>Недостаточная для универсального сравнения</x:v>
      </x:c>
      <x:c r="H29" s="15" t="str">
        <x:v>Не внесено</x:v>
      </x:c>
    </x:row>
  </x:sheetData>
  <x:dataValidations count="1">
    <x:dataValidation type="list" sqref="H6:H29">
      <x:formula1>"Не внесено,Не требуется,Нужен первоисточник,Принято,В работе,Внесено,Отклонено"</x:formula1>
    </x:dataValidation>
  </x:dataValidations>
  <x:hyperlinks>
    <x:hyperlink ref="A6" location="'Перепроверка'!A48"/>
    <x:hyperlink ref="F6" location="'Источники'!A33"/>
    <x:hyperlink ref="A7" location="'Перепроверка'!A48"/>
    <x:hyperlink ref="F7" location="'Источники'!A36"/>
    <x:hyperlink ref="A8" location="'Перепроверка'!A48"/>
    <x:hyperlink ref="F8" location="'Источники'!A35"/>
    <x:hyperlink ref="A9" location="'Перепроверка'!A48"/>
    <x:hyperlink ref="F9" location="'Источники'!A55"/>
    <x:hyperlink ref="A10" location="'Перепроверка'!A49"/>
    <x:hyperlink ref="F10" location="'Источники'!A38"/>
    <x:hyperlink ref="A11" location="'Перепроверка'!A49"/>
    <x:hyperlink ref="F11" location="'Источники'!A37"/>
    <x:hyperlink ref="A12" location="'Перепроверка'!A49"/>
    <x:hyperlink ref="F12" location="'Источники'!A24"/>
    <x:hyperlink ref="A13" location="'Перепроверка'!A50"/>
    <x:hyperlink ref="A14" location="'Перепроверка'!A50"/>
    <x:hyperlink ref="F14" location="'Источники'!A56"/>
    <x:hyperlink ref="A15" location="'Перепроверка'!A50"/>
    <x:hyperlink ref="F15" location="'Источники'!A39"/>
    <x:hyperlink ref="A16" location="'Перепроверка'!A50"/>
    <x:hyperlink ref="F16" location="'Источники'!A59"/>
    <x:hyperlink ref="A17" location="'Перепроверка'!A50"/>
    <x:hyperlink ref="F17" location="'Источники'!A62"/>
    <x:hyperlink ref="A18" location="'Перепроверка'!A51"/>
    <x:hyperlink ref="F18" location="'Источники'!A61"/>
    <x:hyperlink ref="A19" location="'Перепроверка'!A51"/>
    <x:hyperlink ref="F19" location="'Источники'!A53"/>
    <x:hyperlink ref="A20" location="'Перепроверка'!A51"/>
    <x:hyperlink ref="F20" location="'Источники'!A61"/>
    <x:hyperlink ref="A21" location="'Перепроверка'!A51"/>
    <x:hyperlink ref="F21" location="'Источники'!A40"/>
    <x:hyperlink ref="A22" location="'Перепроверка'!A52"/>
    <x:hyperlink ref="F22" location="'Источники'!A48"/>
    <x:hyperlink ref="A23" location="'Перепроверка'!A52"/>
    <x:hyperlink ref="F23" location="'Источники'!A49"/>
    <x:hyperlink ref="A24" location="'Перепроверка'!A52"/>
    <x:hyperlink ref="F24" location="'Источники'!A60"/>
    <x:hyperlink ref="A25" location="'Перепроверка'!A52"/>
    <x:hyperlink ref="F25" location="'Источники'!A47"/>
    <x:hyperlink ref="A26" location="'Перепроверка'!A53"/>
    <x:hyperlink ref="F26" location="'Источники'!A52"/>
    <x:hyperlink ref="A27" location="'Перепроверка'!A53"/>
    <x:hyperlink ref="F27" location="'Источники'!A50"/>
    <x:hyperlink ref="A28" location="'Перепроверка'!A53"/>
    <x:hyperlink ref="F28" location="'Источники'!A51"/>
    <x:hyperlink ref="A29" location="'Перепроверка'!A53"/>
    <x:hyperlink ref="F29" location="'Источники'!A44"/>
  </x:hyperlinks>
  <x:pageMargins left="0.7" right="0.7" top="0.75" bottom="0.75" header="0.3" footer="0.3"/>
  <x:tableParts count="1">
    <x:tablePart xmlns:r="http://schemas.openxmlformats.org/officeDocument/2006/relationships" r:id="R930b79418a6c4640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tabColor rgb="FF657E8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5" hidden="0" customWidth="1"/>
    <x:col min="2" max="2" width="61.25" hidden="0" customWidth="1"/>
    <x:col min="3" max="3" width="18.1299991607666" hidden="0" customWidth="1"/>
    <x:col min="4" max="4" width="58.75" hidden="0" customWidth="1"/>
    <x:col min="5" max="5" width="66.87999725341797" hidden="0" customWidth="1"/>
    <x:col min="6" max="6" width="27.5" hidden="0" customWidth="1"/>
    <x:col min="7" max="7" width="38.75" hidden="0" customWidth="1"/>
    <x:col min="8" max="8" width="27.5" hidden="0" customWidth="1"/>
    <x:col min="9" max="9" width="27.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Источники повторной проверки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5" t="str">
        <x:v>R01–R59 · прямые ссылки · год, тип, границы вывода и объём прочитанного · дата обращения 13.09.2026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6"/>
      <x:c r="B4" s="6"/>
      <x:c r="C4" s="6"/>
      <x:c r="D4" s="6"/>
      <x:c r="E4" s="6"/>
      <x:c r="F4" s="6"/>
      <x:c r="G4" s="6"/>
      <x:c r="H4" s="6"/>
      <x:c r="I4" s="6"/>
    </x:row>
    <x:row r="5" ht="36" customHeight="1">
      <x:c r="A5" s="13" t="str">
        <x:v>ID</x:v>
      </x:c>
      <x:c r="B5" s="13" t="str">
        <x:v>Публикация</x:v>
      </x:c>
      <x:c r="C5" s="13" t="str">
        <x:v>Год</x:v>
      </x:c>
      <x:c r="D5" s="13" t="str">
        <x:v>Прямая ссылка</x:v>
      </x:c>
      <x:c r="E5" s="13" t="str">
        <x:v>Что подтверждает / ограничения</x:v>
      </x:c>
      <x:c r="F5" s="13" t="str">
        <x:v>Тип источника</x:v>
      </x:c>
      <x:c r="G5" s="13" t="str">
        <x:v>Что прочитано</x:v>
      </x:c>
      <x:c r="H5" s="13" t="str">
        <x:v>Основные ID</x:v>
      </x:c>
      <x:c r="I5" s="13" t="str">
        <x:v>Подпункты</x:v>
      </x:c>
    </x:row>
    <x:row r="6" ht="63" customHeight="1">
      <x:c r="A6" s="9" t="str">
        <x:v>R01</x:v>
      </x:c>
      <x:c r="B6" s="9" t="str">
        <x:v>Age of the oldest known Homo sapiens from eastern Africa</x:v>
      </x:c>
      <x:c r="C6" s="9" t="str">
        <x:v>2022</x:v>
      </x:c>
      <x:c r="D6" s="17" t="str">
        <x:v>https://www.nature.com/articles/s41586-021-04275-8</x:v>
      </x:c>
      <x:c r="E6" s="9" t="str">
        <x:v>Минимальный возраст Омо I; современные диагностические черты Омо и Херто.</x:v>
      </x:c>
      <x:c r="F6" s="9" t="str">
        <x:v>Первичная работа</x:v>
      </x:c>
      <x:c r="G6" s="9" t="str">
        <x:v>Аннотация и доступный текст</x:v>
      </x:c>
      <x:c r="H6" s="9" t="str">
        <x:v>A15; D02</x:v>
      </x:c>
      <x:c r="I6" s="9" t="str"/>
    </x:row>
    <x:row r="7" ht="63" customHeight="1">
      <x:c r="A7" s="14" t="str">
        <x:v>R02</x:v>
      </x:c>
      <x:c r="B7" s="14" t="str">
        <x:v>A weakly structured stem for human origins in Africa</x:v>
      </x:c>
      <x:c r="C7" s="14" t="str">
        <x:v>2023</x:v>
      </x:c>
      <x:c r="D7" s="20" t="str">
        <x:v>https://www.nature.com/articles/s41586-023-06055-y</x:v>
      </x:c>
      <x:c r="E7" s="14" t="str">
        <x:v>Модель связанных африканских популяций; конкретная реконструкция, а не единственное установленное древо.</x:v>
      </x:c>
      <x:c r="F7" s="14" t="str">
        <x:v>Первичная работа</x:v>
      </x:c>
      <x:c r="G7" s="14" t="str">
        <x:v>Аннотация и доступный текст</x:v>
      </x:c>
      <x:c r="H7" s="14" t="str">
        <x:v>A16; A17</x:v>
      </x:c>
      <x:c r="I7" s="14" t="str"/>
    </x:row>
    <x:row r="8" ht="63" customHeight="1">
      <x:c r="A8" s="9" t="str">
        <x:v>R03</x:v>
      </x:c>
      <x:c r="B8" s="9" t="str">
        <x:v>On the genetic basis of tail-loss evolution in humans and apes</x:v>
      </x:c>
      <x:c r="C8" s="9" t="str">
        <x:v>2024</x:v>
      </x:c>
      <x:c r="D8" s="17" t="str">
        <x:v>https://www.nature.com/articles/s41586-024-07095-8</x:v>
      </x:c>
      <x:c r="E8" s="9" t="str">
        <x:v>Генетический механизм потери хвоста; экспериментальная проверка на мышах.</x:v>
      </x:c>
      <x:c r="F8" s="9" t="str">
        <x:v>Первичная работа</x:v>
      </x:c>
      <x:c r="G8" s="9" t="str">
        <x:v>Аннотация и доступный текст</x:v>
      </x:c>
      <x:c r="H8" s="9" t="str">
        <x:v>A06</x:v>
      </x:c>
      <x:c r="I8" s="9" t="str"/>
    </x:row>
    <x:row r="9" ht="63" customHeight="1">
      <x:c r="A9" s="14" t="str">
        <x:v>R04</x:v>
      </x:c>
      <x:c r="B9" s="14" t="str">
        <x:v>Evidence for the cooking of fish 780,000 years ago at Gesher Benot Ya’aqov, Israel</x:v>
      </x:c>
      <x:c r="C9" s="14" t="str">
        <x:v>2022</x:v>
      </x:c>
      <x:c r="D9" s="20" t="str">
        <x:v>https://www.nature.com/articles/s41559-022-01910-z</x:v>
      </x:c>
      <x:c r="E9" s="14" t="str">
        <x:v>Свидетельство приготовления рыбы около 780 тыс. лет назад; не дата изобретения огня.</x:v>
      </x:c>
      <x:c r="F9" s="14" t="str">
        <x:v>Первичная работа</x:v>
      </x:c>
      <x:c r="G9" s="14" t="str">
        <x:v>Аннотация и доступный текст</x:v>
      </x:c>
      <x:c r="H9" s="14" t="str">
        <x:v>A33</x:v>
      </x:c>
      <x:c r="I9" s="14" t="str"/>
    </x:row>
    <x:row r="10" ht="63" customHeight="1">
      <x:c r="A10" s="9" t="str">
        <x:v>R05</x:v>
      </x:c>
      <x:c r="B10" s="9" t="str">
        <x:v>Modern human presence in eastern Asia before 130 ka: evidence from U-series re-dating of Daoxian site</x:v>
      </x:c>
      <x:c r="C10" s="9" t="str">
        <x:v>2026</x:v>
      </x:c>
      <x:c r="D10" s="17" t="str">
        <x:v>https://scholars.lib.ntu.edu.tw/entities/publication/f52a39d2-02af-4efa-95f5-10aeb6ccadb4</x:v>
      </x:c>
      <x:c r="E10" s="9" t="str">
        <x:v>DOI 10.1016/j.jasrep.2026.105631. U–Th датировка обрамляющих натёков: слой между 230,2±4,3 и 130,7±1,4 тыс. лет. Это не прямая датировка зубов.</x:v>
      </x:c>
      <x:c r="F10" s="9" t="str">
        <x:v>Первичная работа</x:v>
      </x:c>
      <x:c r="G10" s="9" t="str">
        <x:v>Аннотация и библиография в репозитории университета; полный текст не изучен</x:v>
      </x:c>
      <x:c r="H10" s="9" t="str">
        <x:v>A18</x:v>
      </x:c>
      <x:c r="I10" s="9" t="str"/>
    </x:row>
    <x:row r="11" ht="63" customHeight="1">
      <x:c r="A11" s="14" t="str">
        <x:v>R06</x:v>
      </x:c>
      <x:c r="B11" s="14" t="str">
        <x:v>Ancient DNA and multimethod dating confirm the late arrival of anatomically modern humans in southern China</x:v>
      </x:c>
      <x:c r="C11" s="14" t="str">
        <x:v>2021</x:v>
      </x:c>
      <x:c r="D11" s="20" t="str">
        <x:v>https://pmc.ncbi.nlm.nih.gov/articles/PMC7923607/</x:v>
      </x:c>
      <x:c r="E11" s="14" t="str">
        <x:v>Передатировка конкретных образцов из пяти пещер; нельзя распространять вывод на любые ранние находки региона.</x:v>
      </x:c>
      <x:c r="F11" s="14" t="str">
        <x:v>Первичная работа</x:v>
      </x:c>
      <x:c r="G11" s="14" t="str">
        <x:v>Аннотация и доступный текст</x:v>
      </x:c>
      <x:c r="H11" s="14" t="str">
        <x:v>A18</x:v>
      </x:c>
      <x:c r="I11" s="14" t="str"/>
    </x:row>
    <x:row r="12" ht="63" customHeight="1">
      <x:c r="A12" s="9" t="str">
        <x:v>R07</x:v>
      </x:c>
      <x:c r="B12" s="9" t="str">
        <x:v>On the misidentification and unreliable context of the new “human teeth” from Fuyan Cave (China)</x:v>
      </x:c>
      <x:c r="C12" s="9" t="str">
        <x:v>2021</x:v>
      </x:c>
      <x:c r="D12" s="17" t="str">
        <x:v>https://cir.cenieh.es/handle/20.500.12136/2566</x:v>
      </x:c>
      <x:c r="E12" s="9" t="str">
        <x:v>DOI 10.1073/pnas.2102961118. Возражения об идентификации и контексте новых зубов; спор о Фуянь не закрыт одной публикацией.</x:v>
      </x:c>
      <x:c r="F12" s="9" t="str">
        <x:v>Научная полемика авторов находки</x:v>
      </x:c>
      <x:c r="G12" s="9" t="str">
        <x:v>Аннотация и доступный текст</x:v>
      </x:c>
      <x:c r="H12" s="9" t="str">
        <x:v>A18</x:v>
      </x:c>
      <x:c r="I12" s="9" t="str"/>
    </x:row>
    <x:row r="13" ht="63" customHeight="1">
      <x:c r="A13" s="14" t="str">
        <x:v>R08</x:v>
      </x:c>
      <x:c r="B13" s="14" t="str">
        <x:v>Narrative cave art in Indonesia by 51,200 years ago</x:v>
      </x:c>
      <x:c r="C13" s="14" t="str">
        <x:v>2024</x:v>
      </x:c>
      <x:c r="D13" s="20" t="str">
        <x:v>https://www.nature.com/articles/s41586-024-07541-7</x:v>
      </x:c>
      <x:c r="E13" s="14" t="str">
        <x:v>Минимум 51,2 тыс. для сюжетной сцены; охотничья интерпретация относится к другой сцене, передатированной до минимума 48 тыс.</x:v>
      </x:c>
      <x:c r="F13" s="14" t="str">
        <x:v>Первичная работа</x:v>
      </x:c>
      <x:c r="G13" s="14" t="str">
        <x:v>Аннотация и доступный текст</x:v>
      </x:c>
      <x:c r="H13" s="14" t="str">
        <x:v>A25</x:v>
      </x:c>
      <x:c r="I13" s="14" t="str"/>
    </x:row>
    <x:row r="14" ht="63" customHeight="1">
      <x:c r="A14" s="9" t="str">
        <x:v>R09</x:v>
      </x:c>
      <x:c r="B14" s="9" t="str">
        <x:v>Rock art from at least 67,800 years ago in Sulawesi</x:v>
      </x:c>
      <x:c r="C14" s="9" t="str">
        <x:v>2026</x:v>
      </x:c>
      <x:c r="D14" s="17" t="str">
        <x:v>https://www.nature.com/articles/s41586-025-09968-y</x:v>
      </x:c>
      <x:c r="E14" s="9" t="str">
        <x:v>Опубликовано 21.01.2026. Минимальный возраст трафарета руки 67,8 тыс.; это не охотничья сцена и не дата возникновения искусства.</x:v>
      </x:c>
      <x:c r="F14" s="9" t="str">
        <x:v>Первичная работа</x:v>
      </x:c>
      <x:c r="G14" s="9" t="str">
        <x:v>Аннотация и доступный текст</x:v>
      </x:c>
      <x:c r="H14" s="9" t="str">
        <x:v>A25; A26</x:v>
      </x:c>
      <x:c r="I14" s="9" t="str"/>
    </x:row>
    <x:row r="15" ht="63" customHeight="1">
      <x:c r="A15" s="14" t="str">
        <x:v>R10</x:v>
      </x:c>
      <x:c r="B15" s="14" t="str">
        <x:v>Pleistocene chronology and history of hominins and fauna at Denisova Cave</x:v>
      </x:c>
      <x:c r="C15" s="14" t="str">
        <x:v>2025</x:v>
      </x:c>
      <x:c r="D15" s="20" t="str">
        <x:v>https://www.nature.com/articles/s41467-025-60140-6</x:v>
      </x:c>
      <x:c r="E15" s="14" t="str">
        <x:v>В синтезе трёх залов: древнейшая денисовская мтДНК в слоях около 250 тыс.; древнейшие остатки около 200 тыс. История пещеры охватывает 300 тыс.</x:v>
      </x:c>
      <x:c r="F15" s="14" t="str">
        <x:v>Первичная работа</x:v>
      </x:c>
      <x:c r="G15" s="14" t="str">
        <x:v>Аннотация и доступный текст</x:v>
      </x:c>
      <x:c r="H15" s="14" t="str">
        <x:v>D06</x:v>
      </x:c>
      <x:c r="I15" s="14" t="str"/>
    </x:row>
    <x:row r="16" ht="63" customHeight="1">
      <x:c r="A16" s="9" t="str">
        <x:v>R11</x:v>
      </x:c>
      <x:c r="B16" s="9" t="str">
        <x:v>The oldest known primate skeleton and early haplorhine evolution</x:v>
      </x:c>
      <x:c r="C16" s="9" t="str">
        <x:v>2013</x:v>
      </x:c>
      <x:c r="D16" s="17" t="str">
        <x:v>https://pubmed.ncbi.nlm.nih.gov/23739424/</x:v>
      </x:c>
      <x:c r="E16" s="9" t="str">
        <x:v>DOI 10.1038/nature12200. Archicebus около 55 млн; анализ относит его к основанию долгопятовой ветви.</x:v>
      </x:c>
      <x:c r="F16" s="9" t="str">
        <x:v>Первичная работа</x:v>
      </x:c>
      <x:c r="G16" s="9" t="str">
        <x:v>Аннотация и доступный текст</x:v>
      </x:c>
      <x:c r="H16" s="9" t="str">
        <x:v>A02; A05</x:v>
      </x:c>
      <x:c r="I16" s="9" t="str"/>
    </x:row>
    <x:row r="17" ht="63" customHeight="1">
      <x:c r="A17" s="14" t="str">
        <x:v>R12</x:v>
      </x:c>
      <x:c r="B17" s="14" t="str">
        <x:v>Endocranial morphology of Palaeocene Plesiadapis tricuspidens and evolution of the early primate brain</x:v>
      </x:c>
      <x:c r="C17" s="14" t="str">
        <x:v>2014</x:v>
      </x:c>
      <x:c r="D17" s="20" t="str">
        <x:v>https://pmc.ncbi.nlm.nih.gov/articles/PMC3953834/</x:v>
      </x:c>
      <x:c r="E17" s="14" t="str">
        <x:v>DOI 10.1098/rspb.2013.2792. Примитивная организация мозга плезиадаписа; объект — P. tricuspidens, на портале P. cookei.</x:v>
      </x:c>
      <x:c r="F17" s="14" t="str">
        <x:v>Первичная работа</x:v>
      </x:c>
      <x:c r="G17" s="14" t="str">
        <x:v>Аннотация и доступный текст</x:v>
      </x:c>
      <x:c r="H17" s="14" t="str">
        <x:v>A04</x:v>
      </x:c>
      <x:c r="I17" s="14" t="str"/>
    </x:row>
    <x:row r="18" ht="63" customHeight="1">
      <x:c r="A18" s="9" t="str">
        <x:v>R13</x:v>
      </x:c>
      <x:c r="B18" s="9" t="str">
        <x:v>Ardipithecus kadabba / Ardipithecus ramidus</x:v>
      </x:c>
      <x:c r="C18" s="9" t="str">
        <x:v>без даты</x:v>
      </x:c>
      <x:c r="D18" s="17" t="str">
        <x:v>https://humanorigins.si.edu/evidence/human-fossils/species/ardipithecus-kadabba</x:v>
      </x:c>
      <x:c r="E18" s="9" t="str">
        <x:v>Kadabba 5,8–5,2 млн; ramidus 4,4 млн. Это разные виды одного рода.</x:v>
      </x:c>
      <x:c r="F18" s="9" t="str">
        <x:v>Научный каталог Smithsonian</x:v>
      </x:c>
      <x:c r="G18" s="9" t="str">
        <x:v>Аннотация и доступный текст</x:v>
      </x:c>
      <x:c r="H18" s="9" t="str">
        <x:v>A07</x:v>
      </x:c>
      <x:c r="I18" s="9" t="str"/>
    </x:row>
    <x:row r="19" ht="63" customHeight="1">
      <x:c r="A19" s="14" t="str">
        <x:v>R14</x:v>
      </x:c>
      <x:c r="B19" s="14" t="str">
        <x:v>Australopithecus anamensis</x:v>
      </x:c>
      <x:c r="C19" s="14" t="str">
        <x:v>без даты</x:v>
      </x:c>
      <x:c r="D19" s="20" t="str">
        <x:v>https://humanorigins.si.edu/evidence/human-fossils/species/australopithecus-anamensis</x:v>
      </x:c>
      <x:c r="E19" s="14" t="str">
        <x:v>Род известен раньше Люси; A. anamensis около 4,2–3,8 млн.</x:v>
      </x:c>
      <x:c r="F19" s="14" t="str">
        <x:v>Научный каталог Smithsonian</x:v>
      </x:c>
      <x:c r="G19" s="14" t="str">
        <x:v>Аннотация и доступный текст</x:v>
      </x:c>
      <x:c r="H19" s="14" t="str">
        <x:v>A08</x:v>
      </x:c>
      <x:c r="I19" s="14" t="str"/>
    </x:row>
    <x:row r="20" ht="63" customHeight="1">
      <x:c r="A20" s="9" t="str">
        <x:v>R15</x:v>
      </x:c>
      <x:c r="B20" s="9" t="str">
        <x:v>Comparative sacral morphology and the reconstructed tail lengths of five extinct primates</x:v>
      </x:c>
      <x:c r="C20" s="9" t="str">
        <x:v>2016</x:v>
      </x:c>
      <x:c r="D20" s="17" t="str">
        <x:v>https://pubmed.ncbi.nlm.nih.gov/26767965/</x:v>
      </x:c>
      <x:c r="E20" s="9" t="str">
        <x:v>Сравнительная реконструкция определяет Proconsul heseloni как бесхвостого.</x:v>
      </x:c>
      <x:c r="F20" s="9" t="str">
        <x:v>Первичная работа</x:v>
      </x:c>
      <x:c r="G20" s="9" t="str">
        <x:v>Аннотация и доступный текст</x:v>
      </x:c>
      <x:c r="H20" s="9" t="str">
        <x:v>A06</x:v>
      </x:c>
      <x:c r="I20" s="9" t="str"/>
    </x:row>
    <x:row r="21" ht="63" customHeight="1">
      <x:c r="A21" s="14" t="str">
        <x:v>R16</x:v>
      </x:c>
      <x:c r="B21" s="14" t="str">
        <x:v>Earliest evidence of hominin bipedalism in Sahelanthropus tchadensis</x:v>
      </x:c>
      <x:c r="C21" s="14" t="str">
        <x:v>2026</x:v>
      </x:c>
      <x:c r="D21" s="20" t="str">
        <x:v>https://pmc.ncbi.nlm.nih.gov/articles/PMC12758524/</x:v>
      </x:c>
      <x:c r="E21" s="14" t="str">
        <x:v>Science Advances, 02.01.2026, DOI 10.1126/sciadv.adv0130. Аргументы по бедренной и локтевым костям; ископаемый таз не описан.</x:v>
      </x:c>
      <x:c r="F21" s="14" t="str">
        <x:v>Первичная работа</x:v>
      </x:c>
      <x:c r="G21" s="14" t="str">
        <x:v>Аннотация и доступный текст</x:v>
      </x:c>
      <x:c r="H21" s="14" t="str">
        <x:v>A09; A27</x:v>
      </x:c>
      <x:c r="I21" s="14" t="str"/>
    </x:row>
    <x:row r="22" ht="63" customHeight="1">
      <x:c r="A22" s="9" t="str">
        <x:v>R17</x:v>
      </x:c>
      <x:c r="B22" s="9" t="str">
        <x:v>3.3-million-year-old stone tools from Lomekwi 3, West Turkana, Kenya</x:v>
      </x:c>
      <x:c r="C22" s="9" t="str">
        <x:v>2015</x:v>
      </x:c>
      <x:c r="D22" s="17" t="str">
        <x:v>https://www.nature.com/articles/nature14464</x:v>
      </x:c>
      <x:c r="E22" s="9" t="str">
        <x:v>Каменные орудия 3,3 млн лет; изготовитель не установлен как Homo habilis.</x:v>
      </x:c>
      <x:c r="F22" s="9" t="str">
        <x:v>Первичная работа</x:v>
      </x:c>
      <x:c r="G22" s="9" t="str">
        <x:v>Аннотация и доступный текст</x:v>
      </x:c>
      <x:c r="H22" s="9" t="str">
        <x:v>A10; A23</x:v>
      </x:c>
      <x:c r="I22" s="9" t="str"/>
    </x:row>
    <x:row r="23" ht="63" customHeight="1">
      <x:c r="A23" s="14" t="str">
        <x:v>R18</x:v>
      </x:c>
      <x:c r="B23" s="14" t="str">
        <x:v>Contemporaneity of Australopithecus, Paranthropus, and early Homo erectus in South Africa</x:v>
      </x:c>
      <x:c r="C23" s="14" t="str">
        <x:v>2020</x:v>
      </x:c>
      <x:c r="D23" s="20" t="str">
        <x:v>https://pubmed.ncbi.nlm.nih.gov/32241925/</x:v>
      </x:c>
      <x:c r="E23" s="14" t="str">
        <x:v>DOI 10.1126/science.aaw7293. DNH 134, 2,04–1,95 млн, с признаками H. erectus.</x:v>
      </x:c>
      <x:c r="F23" s="14" t="str">
        <x:v>Первичная работа</x:v>
      </x:c>
      <x:c r="G23" s="14" t="str">
        <x:v>Аннотация и доступный текст</x:v>
      </x:c>
      <x:c r="H23" s="14" t="str">
        <x:v>A21; D03</x:v>
      </x:c>
      <x:c r="I23" s="14" t="str"/>
    </x:row>
    <x:row r="24" ht="63" customHeight="1">
      <x:c r="A24" s="9" t="str">
        <x:v>R19</x:v>
      </x:c>
      <x:c r="B24" s="9" t="str">
        <x:v>Neanderthals and Homo sapiens had similar auditory and speech capacities</x:v>
      </x:c>
      <x:c r="C24" s="9" t="str">
        <x:v>2021</x:v>
      </x:c>
      <x:c r="D24" s="17" t="str">
        <x:v>https://www.nature.com/articles/s41559-021-01391-6</x:v>
      </x:c>
      <x:c r="E24" s="9" t="str">
        <x:v>Модель слуховых возможностей; не прямое доказательство синтаксиса или дата возникновения языка.</x:v>
      </x:c>
      <x:c r="F24" s="9" t="str">
        <x:v>Первичная работа</x:v>
      </x:c>
      <x:c r="G24" s="9" t="str">
        <x:v>Аннотация и доступный текст</x:v>
      </x:c>
      <x:c r="H24" s="9" t="str">
        <x:v>A13; A25; V02</x:v>
      </x:c>
      <x:c r="I24" s="9" t="str">
        <x:v>V02.3</x:v>
      </x:c>
    </x:row>
    <x:row r="25" ht="63" customHeight="1">
      <x:c r="A25" s="14" t="str">
        <x:v>R20</x:v>
      </x:c>
      <x:c r="B25" s="14" t="str">
        <x:v>The earliest toothless hominin skull</x:v>
      </x:c>
      <x:c r="C25" s="14" t="str">
        <x:v>2005</x:v>
      </x:c>
      <x:c r="D25" s="20" t="str">
        <x:v>https://www.nature.com/articles/434717b</x:v>
      </x:c>
      <x:c r="E25" s="14" t="str">
        <x:v>Выживание после утраты зубов у гоминина Дманиси. Социальная помощь — интерпретация, не непосредственно наблюдавшееся поведение.</x:v>
      </x:c>
      <x:c r="F25" s="14" t="str">
        <x:v>Первичная работа</x:v>
      </x:c>
      <x:c r="G25" s="14" t="str">
        <x:v>Аннотация и доступный текст</x:v>
      </x:c>
      <x:c r="H25" s="14" t="str">
        <x:v>A12</x:v>
      </x:c>
      <x:c r="I25" s="14" t="str"/>
    </x:row>
    <x:row r="26" ht="63" customHeight="1">
      <x:c r="A26" s="9" t="str">
        <x:v>R21</x:v>
      </x:c>
      <x:c r="B26" s="9" t="str">
        <x:v>Revised stratigraphy and chronology for Homo floresiensis at Liang Bua in Indonesia</x:v>
      </x:c>
      <x:c r="C26" s="9" t="str">
        <x:v>2016</x:v>
      </x:c>
      <x:c r="D26" s="17" t="str">
        <x:v>https://www.nature.com/articles/nature17179</x:v>
      </x:c>
      <x:c r="E26" s="9" t="str">
        <x:v>Остатки 100–60 тыс.; связанные орудия 190–50 тыс. Точная дата вымирания неизвестна.</x:v>
      </x:c>
      <x:c r="F26" s="9" t="str">
        <x:v>Первичная работа</x:v>
      </x:c>
      <x:c r="G26" s="9" t="str">
        <x:v>Аннотация и доступный текст</x:v>
      </x:c>
      <x:c r="H26" s="9" t="str">
        <x:v>A22; A24</x:v>
      </x:c>
      <x:c r="I26" s="9" t="str"/>
    </x:row>
    <x:row r="27" ht="63" customHeight="1">
      <x:c r="A27" s="14" t="str">
        <x:v>R22</x:v>
      </x:c>
      <x:c r="B27" s="14" t="str">
        <x:v>New fossils from Jebel Irhoud, Morocco and the pan-African origin of Homo sapiens</x:v>
      </x:c>
      <x:c r="C27" s="14" t="str">
        <x:v>2017</x:v>
      </x:c>
      <x:c r="D27" s="20" t="str">
        <x:v>https://www.nature.com/articles/nature22336</x:v>
      </x:c>
      <x:c r="E27" s="14" t="str">
        <x:v>Ранние sapiens с мозаичной анатомией: современные лицевые и более архаичные мозговые черты.</x:v>
      </x:c>
      <x:c r="F27" s="14" t="str">
        <x:v>Первичная работа</x:v>
      </x:c>
      <x:c r="G27" s="14" t="str">
        <x:v>Аннотация и доступный текст</x:v>
      </x:c>
      <x:c r="H27" s="14" t="str">
        <x:v>A16; A26; D01</x:v>
      </x:c>
      <x:c r="I27" s="14" t="str"/>
    </x:row>
    <x:row r="28" ht="63" customHeight="1">
      <x:c r="A28" s="9" t="str">
        <x:v>R23</x:v>
      </x:c>
      <x:c r="B28" s="9" t="str">
        <x:v>The age of the hominin fossils from Jebel Irhoud, Morocco, and the origins of the Middle Stone Age</x:v>
      </x:c>
      <x:c r="C28" s="9" t="str">
        <x:v>2017</x:v>
      </x:c>
      <x:c r="D28" s="17" t="str">
        <x:v>https://www.nature.com/articles/nature22335</x:v>
      </x:c>
      <x:c r="E28" s="9" t="str">
        <x:v>Термолюминесцентная оценка около 315±34 тыс. лет.</x:v>
      </x:c>
      <x:c r="F28" s="9" t="str">
        <x:v>Первичная работа</x:v>
      </x:c>
      <x:c r="G28" s="9" t="str">
        <x:v>Аннотация и доступный текст</x:v>
      </x:c>
      <x:c r="H28" s="9" t="str">
        <x:v>A26; D01</x:v>
      </x:c>
      <x:c r="I28" s="9" t="str"/>
    </x:row>
    <x:row r="29" ht="63" customHeight="1">
      <x:c r="A29" s="14" t="str">
        <x:v>R24</x:v>
      </x:c>
      <x:c r="B29" s="14" t="str">
        <x:v>Early Middle Stone Age personal ornaments from Bizmoune Cave, Essaouira, Morocco</x:v>
      </x:c>
      <x:c r="C29" s="14" t="str">
        <x:v>2021</x:v>
      </x:c>
      <x:c r="D29" s="20" t="str">
        <x:v>https://pmc.ncbi.nlm.nih.gov/articles/PMC8457661/</x:v>
      </x:c>
      <x:c r="E29" s="14" t="str">
        <x:v>Science Advances, DOI 10.1126/sciadv.abi8620. Многие бусины из отложений возрастом не менее 142 тыс. лет.</x:v>
      </x:c>
      <x:c r="F29" s="14" t="str">
        <x:v>Первичная работа</x:v>
      </x:c>
      <x:c r="G29" s="14" t="str">
        <x:v>Аннотация и доступный текст</x:v>
      </x:c>
      <x:c r="H29" s="14" t="str">
        <x:v>A14; A25; A26</x:v>
      </x:c>
      <x:c r="I29" s="14" t="str"/>
    </x:row>
    <x:row r="30" ht="63" customHeight="1">
      <x:c r="A30" s="9" t="str">
        <x:v>R25</x:v>
      </x:c>
      <x:c r="B30" s="9" t="str">
        <x:v>Nuclear DNA sequences from the Middle Pleistocene Sima de los Huesos hominins</x:v>
      </x:c>
      <x:c r="C30" s="9" t="str">
        <x:v>2016</x:v>
      </x:c>
      <x:c r="D30" s="17" t="str">
        <x:v>https://www.nature.com/articles/nature17405</x:v>
      </x:c>
      <x:c r="E30" s="9" t="str">
        <x:v>Сима около 430 тыс. относится к неандертальской линии; разделение с денисовской линией древнее.</x:v>
      </x:c>
      <x:c r="F30" s="9" t="str">
        <x:v>Первичная работа</x:v>
      </x:c>
      <x:c r="G30" s="9" t="str">
        <x:v>Аннотация и доступный текст</x:v>
      </x:c>
      <x:c r="H30" s="9" t="str">
        <x:v>A19; D05; D06</x:v>
      </x:c>
      <x:c r="I30" s="9" t="str"/>
    </x:row>
    <x:row r="31" ht="63" customHeight="1">
      <x:c r="A31" s="14" t="str">
        <x:v>R26</x:v>
      </x:c>
      <x:c r="B31" s="14" t="str">
        <x:v>Complete sequencing of ape genomes</x:v>
      </x:c>
      <x:c r="C31" s="14" t="str">
        <x:v>2025</x:v>
      </x:c>
      <x:c r="D31" s="20" t="str">
        <x:v>https://pmc.ncbi.nlm.nih.gov/articles/PMC12058530/</x:v>
      </x:c>
      <x:c r="E31" s="14" t="str">
        <x:v>DOI 10.1038/s41586-025-08816-3. Полные сборки включают прежде труднодоступные повторные участки; метрика сравнения имеет значение.</x:v>
      </x:c>
      <x:c r="F31" s="14" t="str">
        <x:v>Первичная работа</x:v>
      </x:c>
      <x:c r="G31" s="14" t="str">
        <x:v>Аннотация и доступный текст</x:v>
      </x:c>
      <x:c r="H31" s="14" t="str">
        <x:v>D07</x:v>
      </x:c>
      <x:c r="I31" s="14" t="str"/>
    </x:row>
    <x:row r="32" ht="63" customHeight="1">
      <x:c r="A32" s="9" t="str">
        <x:v>R27</x:v>
      </x:c>
      <x:c r="B32" s="9" t="str">
        <x:v>Philippine Ayta possess the highest level of Denisovan ancestry in the world</x:v>
      </x:c>
      <x:c r="C32" s="9" t="str">
        <x:v>2021</x:v>
      </x:c>
      <x:c r="D32" s="17" t="str">
        <x:v>https://pmc.ncbi.nlm.nih.gov/articles/PMC8596304/</x:v>
      </x:c>
      <x:c r="E32" s="9" t="str">
        <x:v>DOI 10.1016/j.cub.2021.07.022. Доля денисовского наследия существенно различается между популяциями.</x:v>
      </x:c>
      <x:c r="F32" s="9" t="str">
        <x:v>Первичная работа</x:v>
      </x:c>
      <x:c r="G32" s="9" t="str">
        <x:v>Аннотация и доступный текст</x:v>
      </x:c>
      <x:c r="H32" s="9" t="str">
        <x:v>A19; A29</x:v>
      </x:c>
      <x:c r="I32" s="9" t="str"/>
    </x:row>
    <x:row r="33" ht="63" customHeight="1">
      <x:c r="A33" s="14" t="str">
        <x:v>R28</x:v>
      </x:c>
      <x:c r="B33" s="14" t="str">
        <x:v>Appendage expression driven by the Hoxd Global Control Region is an ancient gnathostome feature</x:v>
      </x:c>
      <x:c r="C33" s="14" t="str">
        <x:v>2011</x:v>
      </x:c>
      <x:c r="D33" s="20" t="str">
        <x:v>https://pmc.ncbi.nlm.nih.gov/articles/PMC3150877/</x:v>
      </x:c>
      <x:c r="E33" s="14" t="str">
        <x:v>CsB относится к регуляции Hoxd; показана функциональная консервативность регулятора у рыб и четвероногих.</x:v>
      </x:c>
      <x:c r="F33" s="14" t="str">
        <x:v>Первичная работа</x:v>
      </x:c>
      <x:c r="G33" s="14" t="str">
        <x:v>Аннотация и доступный текст</x:v>
      </x:c>
      <x:c r="H33" s="14" t="str">
        <x:v>V01</x:v>
      </x:c>
      <x:c r="I33" s="14" t="str">
        <x:v>V01.1</x:v>
      </x:c>
    </x:row>
    <x:row r="34" ht="63" customHeight="1">
      <x:c r="A34" s="9" t="str">
        <x:v>R29</x:v>
      </x:c>
      <x:c r="B34" s="9" t="str">
        <x:v>Deep conservation of wrist and digit enhancers in fish</x:v>
      </x:c>
      <x:c r="C34" s="9" t="str">
        <x:v>2014 онлайн / 2015 выпуск</x:v>
      </x:c>
      <x:c r="D34" s="17" t="str">
        <x:v>https://pmc.ncbi.nlm.nih.gov/articles/PMC4311833/</x:v>
      </x:c>
      <x:c r="E34" s="9" t="str">
        <x:v>DOI 10.1073/pnas.1420208112. Репортёрные эксперименты с энхансерами Hox; не описанный на слайде опыт CsB → shh.</x:v>
      </x:c>
      <x:c r="F34" s="9" t="str">
        <x:v>Первичная работа</x:v>
      </x:c>
      <x:c r="G34" s="9" t="str">
        <x:v>Аннотация и доступный текст</x:v>
      </x:c>
      <x:c r="H34" s="9" t="str">
        <x:v>V01</x:v>
      </x:c>
      <x:c r="I34" s="9" t="str">
        <x:v>V01.1</x:v>
      </x:c>
    </x:row>
    <x:row r="35" ht="63" customHeight="1">
      <x:c r="A35" s="14" t="str">
        <x:v>R30</x:v>
      </x:c>
      <x:c r="B35" s="14" t="str">
        <x:v>Characterization and polymorphic analysis of 4.5 kb genomic full-length HLA-C in the Chinese Han population</x:v>
      </x:c>
      <x:c r="C35" s="14" t="str">
        <x:v>2011</x:v>
      </x:c>
      <x:c r="D35" s="20" t="str">
        <x:v>https://pmc.ncbi.nlm.nih.gov/articles/PMC7366323/</x:v>
      </x:c>
      <x:c r="E35" s="14" t="str">
        <x:v>DOI 10.1111/j.1399-0039.2011.01710.x. Введение: HLA-B/C возникли при дупликации в предковой линии человекообразных около 22 млн лет.</x:v>
      </x:c>
      <x:c r="F35" s="14" t="str">
        <x:v>Первичная работа</x:v>
      </x:c>
      <x:c r="G35" s="14" t="str">
        <x:v>Аннотация и доступный текст</x:v>
      </x:c>
      <x:c r="H35" s="14" t="str">
        <x:v>V01</x:v>
      </x:c>
      <x:c r="I35" s="14" t="str">
        <x:v>V01.3</x:v>
      </x:c>
    </x:row>
    <x:row r="36" ht="63" customHeight="1">
      <x:c r="A36" s="9" t="str">
        <x:v>R31</x:v>
      </x:c>
      <x:c r="B36" s="9" t="str">
        <x:v>Apolipophorin II/I, apolipoprotein B, vitellogenin, and microsomal triglyceride transfer protein genes are derived from a common ancestor</x:v>
      </x:c>
      <x:c r="C36" s="9" t="str">
        <x:v>1999</x:v>
      </x:c>
      <x:c r="D36" s="17" t="str">
        <x:v>https://pubmed.ncbi.nlm.nih.gov/10368443/</x:v>
      </x:c>
      <x:c r="E36" s="9" t="str">
        <x:v>Древнее общее происхождение семейства белков; не замена желтка на ApoB исключительно у плацентарных.</x:v>
      </x:c>
      <x:c r="F36" s="9" t="str">
        <x:v>Первичная работа</x:v>
      </x:c>
      <x:c r="G36" s="9" t="str">
        <x:v>Аннотация и доступный текст</x:v>
      </x:c>
      <x:c r="H36" s="9" t="str">
        <x:v>V01</x:v>
      </x:c>
      <x:c r="I36" s="9" t="str">
        <x:v>V01.2</x:v>
      </x:c>
    </x:row>
    <x:row r="37" ht="63" customHeight="1">
      <x:c r="A37" s="14" t="str">
        <x:v>R32</x:v>
      </x:c>
      <x:c r="B37" s="14" t="str">
        <x:v>No Evidence for Recent Selection at FOXP2 among Diverse Human Populations</x:v>
      </x:c>
      <x:c r="C37" s="14" t="str">
        <x:v>2018</x:v>
      </x:c>
      <x:c r="D37" s="20" t="str">
        <x:v>https://pmc.ncbi.nlm.nih.gov/articles/PMC6128738/</x:v>
      </x:c>
      <x:c r="E37" s="14" t="str">
        <x:v>Cell, DOI 10.1016/j.cell.2018.06.048. Большая выборка не подтверждает прежний сигнал недавнего selective sweep.</x:v>
      </x:c>
      <x:c r="F37" s="14" t="str">
        <x:v>Первичная работа</x:v>
      </x:c>
      <x:c r="G37" s="14" t="str">
        <x:v>Аннотация и доступный текст</x:v>
      </x:c>
      <x:c r="H37" s="14" t="str">
        <x:v>V02</x:v>
      </x:c>
      <x:c r="I37" s="14" t="str">
        <x:v>V02.2</x:v>
      </x:c>
    </x:row>
    <x:row r="38" ht="63" customHeight="1">
      <x:c r="A38" s="9" t="str">
        <x:v>R33</x:v>
      </x:c>
      <x:c r="B38" s="9" t="str">
        <x:v>A human-specific modifier of cortical connectivity and circuit function</x:v>
      </x:c>
      <x:c r="C38" s="9" t="str">
        <x:v>2021</x:v>
      </x:c>
      <x:c r="D38" s="17" t="str">
        <x:v>https://www.nature.com/articles/s41586-021-04039-4</x:v>
      </x:c>
      <x:c r="E38" s="9" t="str">
        <x:v>SRGAP2C: изменения связности и улучшение обучения различению текстур у мышей. Это не представленный график рабочей памяти.</x:v>
      </x:c>
      <x:c r="F38" s="9" t="str">
        <x:v>Первичная работа</x:v>
      </x:c>
      <x:c r="G38" s="9" t="str">
        <x:v>Аннотация и доступный текст</x:v>
      </x:c>
      <x:c r="H38" s="9" t="str">
        <x:v>V02</x:v>
      </x:c>
      <x:c r="I38" s="9" t="str">
        <x:v>V02.1</x:v>
      </x:c>
    </x:row>
    <x:row r="39" ht="63" customHeight="1">
      <x:c r="A39" s="14" t="str">
        <x:v>R34</x:v>
      </x:c>
      <x:c r="B39" s="14" t="str">
        <x:v>Neanderthal introgression in SCN9A impacts mechanical pain sensitivity</x:v>
      </x:c>
      <x:c r="C39" s="14" t="str">
        <x:v>2023</x:v>
      </x:c>
      <x:c r="D39" s="20" t="str">
        <x:v>https://www.nature.com/articles/s42003-023-05286-z</x:v>
      </x:c>
      <x:c r="E39" s="14" t="str">
        <x:v>SCN9A: неандертальское происхождение вариантов, связь с механической болью; не установленная денисовская холодоустойчивость.</x:v>
      </x:c>
      <x:c r="F39" s="14" t="str">
        <x:v>Первичная работа</x:v>
      </x:c>
      <x:c r="G39" s="14" t="str">
        <x:v>Аннотация и доступный текст</x:v>
      </x:c>
      <x:c r="H39" s="14" t="str">
        <x:v>V03</x:v>
      </x:c>
      <x:c r="I39" s="14" t="str">
        <x:v>V03.3</x:v>
      </x:c>
    </x:row>
    <x:row r="40" ht="63" customHeight="1">
      <x:c r="A40" s="9" t="str">
        <x:v>R35</x:v>
      </x:c>
      <x:c r="B40" s="9" t="str">
        <x:v>What are the evolutionary constraints on larval growth in a trophically transmitted parasite?</x:v>
      </x:c>
      <x:c r="C40" s="9" t="str">
        <x:v>2009</x:v>
      </x:c>
      <x:c r="D40" s="17" t="str">
        <x:v>https://pmc.ncbi.nlm.nih.gov/articles/PMC2821511/</x:v>
      </x:c>
      <x:c r="E40" s="9" t="str">
        <x:v>Экспериментальная система S. solidus: копепода → трёхиглая колюшка → рыбоядная птица.</x:v>
      </x:c>
      <x:c r="F40" s="9" t="str">
        <x:v>Первичная работа</x:v>
      </x:c>
      <x:c r="G40" s="9" t="str">
        <x:v>Аннотация и доступный текст</x:v>
      </x:c>
      <x:c r="H40" s="9" t="str">
        <x:v>V04</x:v>
      </x:c>
      <x:c r="I40" s="9" t="str">
        <x:v>V04.4</x:v>
      </x:c>
    </x:row>
    <x:row r="41" ht="63" customHeight="1">
      <x:c r="A41" s="14" t="str">
        <x:v>R36</x:v>
      </x:c>
      <x:c r="B41" s="14" t="str">
        <x:v>A Devonian tetrapod-like fish and the evolution of the tetrapod body plan</x:v>
      </x:c>
      <x:c r="C41" s="14" t="str">
        <x:v>2006</x:v>
      </x:c>
      <x:c r="D41" s="20" t="str">
        <x:v>https://www.nature.com/articles/nature04639</x:v>
      </x:c>
      <x:c r="E41" s="14" t="str">
        <x:v>Tiktaalik — ископаемая переходная форма с парными плавниками; не установленный индивидуальный предок всех наземных животных.</x:v>
      </x:c>
      <x:c r="F41" s="14" t="str">
        <x:v>Первичная работа</x:v>
      </x:c>
      <x:c r="G41" s="14" t="str">
        <x:v>Аннотация и доступный текст</x:v>
      </x:c>
      <x:c r="H41" s="14" t="str">
        <x:v>A28</x:v>
      </x:c>
      <x:c r="I41" s="14" t="str"/>
    </x:row>
    <x:row r="42" ht="63" customHeight="1">
      <x:c r="A42" s="9" t="str">
        <x:v>R37</x:v>
      </x:c>
      <x:c r="B42" s="9" t="str">
        <x:v>Tetrapod trackways from the early Middle Devonian period of Poland</x:v>
      </x:c>
      <x:c r="C42" s="9" t="str">
        <x:v>2010</x:v>
      </x:c>
      <x:c r="D42" s="17" t="str">
        <x:v>https://www.nature.com/articles/nature08623</x:v>
      </x:c>
      <x:c r="E42" s="9" t="str">
        <x:v>Следовые дорожки, интерпретированные как четвероногие, старше известных Tiktaalik и других эльпистостегид.</x:v>
      </x:c>
      <x:c r="F42" s="9" t="str">
        <x:v>Первичная работа</x:v>
      </x:c>
      <x:c r="G42" s="9" t="str">
        <x:v>Аннотация и доступный текст</x:v>
      </x:c>
      <x:c r="H42" s="9" t="str">
        <x:v>A28</x:v>
      </x:c>
      <x:c r="I42" s="9" t="str"/>
    </x:row>
    <x:row r="43" ht="63" customHeight="1">
      <x:c r="A43" s="14" t="str">
        <x:v>R38</x:v>
      </x:c>
      <x:c r="B43" s="14" t="str">
        <x:v>An integrative approach to understanding bird origins</x:v>
      </x:c>
      <x:c r="C43" s="14" t="str">
        <x:v>2014</x:v>
      </x:c>
      <x:c r="D43" s="20" t="str">
        <x:v>https://pubmed.ncbi.nlm.nih.gov/25504729/</x:v>
      </x:c>
      <x:c r="E43" s="14" t="str">
        <x:v>Science, DOI 10.1126/science.1253293. Синтез анатомических и палеонтологических данных о происхождении птиц внутри теропод.</x:v>
      </x:c>
      <x:c r="F43" s="14" t="str">
        <x:v>Научный обзор исследователей</x:v>
      </x:c>
      <x:c r="G43" s="14" t="str">
        <x:v>Аннотация и доступный текст</x:v>
      </x:c>
      <x:c r="H43" s="14" t="str">
        <x:v>A32; D08</x:v>
      </x:c>
      <x:c r="I43" s="14" t="str"/>
    </x:row>
    <x:row r="44" ht="63" customHeight="1">
      <x:c r="A44" s="9" t="str">
        <x:v>R39</x:v>
      </x:c>
      <x:c r="B44" s="9" t="str">
        <x:v>Asteroid impact, not volcanism, caused the end-Cretaceous dinosaur extinction</x:v>
      </x:c>
      <x:c r="C44" s="9" t="str">
        <x:v>2020</x:v>
      </x:c>
      <x:c r="D44" s="17" t="str">
        <x:v>https://pmc.ncbi.nlm.nih.gov/articles/PMC7382232/</x:v>
      </x:c>
      <x:c r="E44" s="9" t="str">
        <x:v>PNAS, DOI 10.1073/pnas.2006087117. Моделирование климатических последствий удара и вулканизма.</x:v>
      </x:c>
      <x:c r="F44" s="9" t="str">
        <x:v>Первичная работа</x:v>
      </x:c>
      <x:c r="G44" s="9" t="str">
        <x:v>Аннотация и доступный текст</x:v>
      </x:c>
      <x:c r="H44" s="9" t="str">
        <x:v>D09; V06</x:v>
      </x:c>
      <x:c r="I44" s="9" t="str">
        <x:v>V06.4</x:v>
      </x:c>
    </x:row>
    <x:row r="45" ht="63" customHeight="1">
      <x:c r="A45" s="14" t="str">
        <x:v>R40</x:v>
      </x:c>
      <x:c r="B45" s="14" t="str">
        <x:v>Homo heidelbergensis</x:v>
      </x:c>
      <x:c r="C45" s="14" t="str">
        <x:v>без даты</x:v>
      </x:c>
      <x:c r="D45" s="20" t="str">
        <x:v>https://humanorigins.si.edu/evidence/human-fossils/species/homo-heidelbergensis</x:v>
      </x:c>
      <x:c r="E45" s="14" t="str">
        <x:v>Диапазон 700–200 тыс.; используется только для диапазона таксона, не как самая новая оценка генетических разделений.</x:v>
      </x:c>
      <x:c r="F45" s="14" t="str">
        <x:v>Научный каталог Smithsonian</x:v>
      </x:c>
      <x:c r="G45" s="14" t="str">
        <x:v>Аннотация и доступный текст</x:v>
      </x:c>
      <x:c r="H45" s="14" t="str">
        <x:v>D04</x:v>
      </x:c>
      <x:c r="I45" s="14" t="str"/>
    </x:row>
    <x:row r="46" ht="63" customHeight="1">
      <x:c r="A46" s="9" t="str">
        <x:v>R41</x:v>
      </x:c>
      <x:c r="B46" s="9" t="str">
        <x:v>Initial sequence of the chimpanzee genome and comparison with the human genome</x:v>
      </x:c>
      <x:c r="C46" s="9" t="str">
        <x:v>2005</x:v>
      </x:c>
      <x:c r="D46" s="17" t="str">
        <x:v>https://www.nature.com/articles/nature04072</x:v>
      </x:c>
      <x:c r="E46" s="9" t="str">
        <x:v>Около 1,23% однонуклеотидных различий в сопоставимых последовательностях; вставки, делеции и перестройки считаются отдельно.</x:v>
      </x:c>
      <x:c r="F46" s="9" t="str">
        <x:v>Первичная работа</x:v>
      </x:c>
      <x:c r="G46" s="9" t="str">
        <x:v>Аннотация и доступный текст</x:v>
      </x:c>
      <x:c r="H46" s="9" t="str">
        <x:v>D07</x:v>
      </x:c>
      <x:c r="I46" s="9" t="str"/>
    </x:row>
    <x:row r="47" ht="63" customHeight="1">
      <x:c r="A47" s="14" t="str">
        <x:v>R42</x:v>
      </x:c>
      <x:c r="B47" s="14" t="str">
        <x:v>The nature of the last universal common ancestor and its impact on the early Earth system</x:v>
      </x:c>
      <x:c r="C47" s="14" t="str">
        <x:v>2024</x:v>
      </x:c>
      <x:c r="D47" s="20" t="str">
        <x:v>https://www.nature.com/articles/s41559-024-02461-1</x:v>
      </x:c>
      <x:c r="E47" s="14" t="str">
        <x:v>Модель LUCA около 4,2 млрд; портал уже ссылается на неё и явно называет её моделью.</x:v>
      </x:c>
      <x:c r="F47" s="14" t="str">
        <x:v>Первичная работа</x:v>
      </x:c>
      <x:c r="G47" s="14" t="str">
        <x:v>Аннотация и доступный текст</x:v>
      </x:c>
      <x:c r="H47" s="14" t="str">
        <x:v>V05</x:v>
      </x:c>
      <x:c r="I47" s="14" t="str">
        <x:v>V05.4</x:v>
      </x:c>
    </x:row>
    <x:row r="48" ht="63" customHeight="1">
      <x:c r="A48" s="9" t="str">
        <x:v>R43</x:v>
      </x:c>
      <x:c r="B48" s="9" t="str">
        <x:v>Lung evolution in vertebrates and the water-to-land transition</x:v>
      </x:c>
      <x:c r="C48" s="9" t="str">
        <x:v>2022</x:v>
      </x:c>
      <x:c r="D48" s="17" t="str">
        <x:v>https://pmc.ncbi.nlm.nih.gov/articles/PMC9323002/</x:v>
      </x:c>
      <x:c r="E48" s="9" t="str">
        <x:v>eLife, DOI 10.7554/eLife.77156. Лёгкие исследуются в контексте костных рыб; их начало не следует датировать только появлением наземных четвероногих.</x:v>
      </x:c>
      <x:c r="F48" s="9" t="str">
        <x:v>Первичная работа</x:v>
      </x:c>
      <x:c r="G48" s="9" t="str">
        <x:v>Аннотация и доступный текст</x:v>
      </x:c>
      <x:c r="H48" s="9" t="str">
        <x:v>V05</x:v>
      </x:c>
      <x:c r="I48" s="9" t="str">
        <x:v>V05.1</x:v>
      </x:c>
    </x:row>
    <x:row r="49" ht="63" customHeight="1">
      <x:c r="A49" s="14" t="str">
        <x:v>R44</x:v>
      </x:c>
      <x:c r="B49" s="14" t="str">
        <x:v>Biomechanics of the mandibular middle ear of the cynodont Thrinaxodon and the evolution of mammal hearing</x:v>
      </x:c>
      <x:c r="C49" s="14" t="str">
        <x:v>2025</x:v>
      </x:c>
      <x:c r="D49" s="20" t="str">
        <x:v>https://pmc.ncbi.nlm.nih.gov/articles/PMC12745777/</x:v>
      </x:c>
      <x:c r="E49" s="14" t="str">
        <x:v>PNAS, DOI 10.1073/pnas.2516082122. Модель слуха Thrinaxodon около 250 млн; челюстное среднее ухо ещё не отделено как у современных млекопитающих.</x:v>
      </x:c>
      <x:c r="F49" s="14" t="str">
        <x:v>Первичная работа</x:v>
      </x:c>
      <x:c r="G49" s="14" t="str">
        <x:v>Аннотация и доступный текст</x:v>
      </x:c>
      <x:c r="H49" s="14" t="str">
        <x:v>A30; V05</x:v>
      </x:c>
      <x:c r="I49" s="14" t="str">
        <x:v>V05.2</x:v>
      </x:c>
    </x:row>
    <x:row r="50" ht="63" customHeight="1">
      <x:c r="A50" s="9" t="str">
        <x:v>R45</x:v>
      </x:c>
      <x:c r="B50" s="9" t="str">
        <x:v>Estimates of the magnitudes of major marine mass extinctions in earth history</x:v>
      </x:c>
      <x:c r="C50" s="9" t="str">
        <x:v>2016</x:v>
      </x:c>
      <x:c r="D50" s="17" t="str">
        <x:v>https://pmc.ncbi.nlm.nih.gov/articles/PMC5081622/</x:v>
      </x:c>
      <x:c r="E50" s="9" t="str">
        <x:v>PNAS, DOI 10.1073/pnas.1613094113. Оценки зависят от метода; одна переоценка конца перми — около 81% морских видов.</x:v>
      </x:c>
      <x:c r="F50" s="9" t="str">
        <x:v>Первичная работа</x:v>
      </x:c>
      <x:c r="G50" s="9" t="str">
        <x:v>Аннотация и доступный текст</x:v>
      </x:c>
      <x:c r="H50" s="9" t="str">
        <x:v>A31; V06</x:v>
      </x:c>
      <x:c r="I50" s="9" t="str">
        <x:v>V06.2</x:v>
      </x:c>
    </x:row>
    <x:row r="51" ht="63" customHeight="1">
      <x:c r="A51" s="14" t="str">
        <x:v>R46</x:v>
      </x:c>
      <x:c r="B51" s="14" t="str">
        <x:v>Exceptional continental record of biotic recovery after the Cretaceous-Paleogene mass extinction</x:v>
      </x:c>
      <x:c r="C51" s="14" t="str">
        <x:v>2019</x:v>
      </x:c>
      <x:c r="D51" s="20" t="str">
        <x:v>https://pubmed.ncbi.nlm.nih.gov/31649141/</x:v>
      </x:c>
      <x:c r="E51" s="14" t="str">
        <x:v>Science, DOI 10.1126/science.aay2268. Конкретная региональная последовательность восстановления; не универсальный срок доминирования млекопитающих.</x:v>
      </x:c>
      <x:c r="F51" s="14" t="str">
        <x:v>Первичная работа</x:v>
      </x:c>
      <x:c r="G51" s="14" t="str">
        <x:v>Аннотация и доступный текст</x:v>
      </x:c>
      <x:c r="H51" s="14" t="str">
        <x:v>V06</x:v>
      </x:c>
      <x:c r="I51" s="14" t="str">
        <x:v>V06.3</x:v>
      </x:c>
    </x:row>
    <x:row r="52" ht="63" customHeight="1">
      <x:c r="A52" s="9" t="str">
        <x:v>R47</x:v>
      </x:c>
      <x:c r="B52" s="9" t="str">
        <x:v>Abrupt global-ocean anoxia during the Late Ordovician–early Silurian detected using uranium isotopes of marine carbonates</x:v>
      </x:c>
      <x:c r="C52" s="9" t="str">
        <x:v>2018</x:v>
      </x:c>
      <x:c r="D52" s="17" t="str">
        <x:v>https://pmc.ncbi.nlm.nih.gov/articles/PMC6003337/</x:v>
      </x:c>
      <x:c r="E52" s="9" t="str">
        <x:v>PNAS, DOI 10.1073/pnas.1802438115. Примерно 85% морских животных относится ко всему позднеордовикскому кризису с двумя импульсами.</x:v>
      </x:c>
      <x:c r="F52" s="9" t="str">
        <x:v>Первичная работа</x:v>
      </x:c>
      <x:c r="G52" s="9" t="str">
        <x:v>Аннотация и доступный текст</x:v>
      </x:c>
      <x:c r="H52" s="9" t="str">
        <x:v>V06</x:v>
      </x:c>
      <x:c r="I52" s="9" t="str">
        <x:v>V06.1</x:v>
      </x:c>
    </x:row>
    <x:row r="53" ht="63" customHeight="1">
      <x:c r="A53" s="14" t="str">
        <x:v>R48</x:v>
      </x:c>
      <x:c r="B53" s="14" t="str">
        <x:v>Effects of Insemination Quantity on Honey Bee Queen Physiology</x:v>
      </x:c>
      <x:c r="C53" s="14" t="str">
        <x:v>2007</x:v>
      </x:c>
      <x:c r="D53" s="20" t="str">
        <x:v>https://pmc.ncbi.nlm.nih.gov/articles/PMC1989138/</x:v>
      </x:c>
      <x:c r="E53" s="14" t="str">
        <x:v>Коэффициент родства 0,75 для потомства матки, осеменённой одним трутнем; условие общего отца существенно.</x:v>
      </x:c>
      <x:c r="F53" s="14" t="str">
        <x:v>Первичная работа</x:v>
      </x:c>
      <x:c r="G53" s="14" t="str">
        <x:v>Аннотация и доступный текст</x:v>
      </x:c>
      <x:c r="H53" s="14" t="str">
        <x:v>V04</x:v>
      </x:c>
      <x:c r="I53" s="14" t="str">
        <x:v>V04.2</x:v>
      </x:c>
    </x:row>
    <x:row r="54" ht="63" customHeight="1">
      <x:c r="A54" s="9" t="str">
        <x:v>R49</x:v>
      </x:c>
      <x:c r="B54" s="9" t="str">
        <x:v>A long-range Shh enhancer regulates expression in the developing limb and fin and is associated with preaxial polydactyly</x:v>
      </x:c>
      <x:c r="C54" s="9" t="str">
        <x:v>2003</x:v>
      </x:c>
      <x:c r="D54" s="17" t="str">
        <x:v>https://pubmed.ncbi.nlm.nih.gov/12837695/</x:v>
      </x:c>
      <x:c r="E54" s="9" t="str">
        <x:v>DOI 10.1093/hmg/ddg180. Энхансер Shh ZRS находится в интроне 5 LMBR1; это другой регулятор, не CsB в HoxD13.</x:v>
      </x:c>
      <x:c r="F54" s="9" t="str">
        <x:v>Первичная работа</x:v>
      </x:c>
      <x:c r="G54" s="9" t="str">
        <x:v>Аннотация и доступный текст</x:v>
      </x:c>
      <x:c r="H54" s="9" t="str">
        <x:v>V01</x:v>
      </x:c>
      <x:c r="I54" s="9" t="str">
        <x:v>V01.1</x:v>
      </x:c>
    </x:row>
    <x:row r="55" ht="63" customHeight="1">
      <x:c r="A55" s="14" t="str">
        <x:v>R50</x:v>
      </x:c>
      <x:c r="B55" s="14" t="str">
        <x:v>The bovine lactation genome: insights into the evolution of mammalian milk</x:v>
      </x:c>
      <x:c r="C55" s="14" t="str">
        <x:v>2009</x:v>
      </x:c>
      <x:c r="D55" s="20" t="str">
        <x:v>https://pmc.ncbi.nlm.nih.gov/articles/PMC2688934/</x:v>
      </x:c>
      <x:c r="E55" s="14" t="str">
        <x:v>Сравнение генов лактации; не подтверждает цепочку β-casein 70 млн → триптофан → рост мозга. Отсутствие такой цепочки здесь не доказывает её невозможность.</x:v>
      </x:c>
      <x:c r="F55" s="14" t="str">
        <x:v>Первичная работа</x:v>
      </x:c>
      <x:c r="G55" s="14" t="str">
        <x:v>Аннотация и доступный текст</x:v>
      </x:c>
      <x:c r="H55" s="14" t="str">
        <x:v>V01</x:v>
      </x:c>
      <x:c r="I55" s="14" t="str">
        <x:v>V01.4</x:v>
      </x:c>
    </x:row>
    <x:row r="56" ht="63" customHeight="1">
      <x:c r="A56" s="9" t="str">
        <x:v>R51</x:v>
      </x:c>
      <x:c r="B56" s="9" t="str">
        <x:v>Calcium isotopic ecology of Turkana Basin hominins</x:v>
      </x:c>
      <x:c r="C56" s="9" t="str">
        <x:v>2020</x:v>
      </x:c>
      <x:c r="D56" s="17" t="str">
        <x:v>https://www.nature.com/articles/s41467-020-17427-7</x:v>
      </x:c>
      <x:c r="E56" s="9" t="str">
        <x:v>Измерения кальция и углерода в эмали, а не δ15N костей Turkana из слайда.</x:v>
      </x:c>
      <x:c r="F56" s="9" t="str">
        <x:v>Первичная работа</x:v>
      </x:c>
      <x:c r="G56" s="9" t="str">
        <x:v>Аннотация и доступный текст</x:v>
      </x:c>
      <x:c r="H56" s="9" t="str">
        <x:v>V03</x:v>
      </x:c>
      <x:c r="I56" s="9" t="str">
        <x:v>V03.2</x:v>
      </x:c>
    </x:row>
    <x:row r="57" ht="63" customHeight="1">
      <x:c r="A57" s="14" t="str">
        <x:v>R52</x:v>
      </x:c>
      <x:c r="B57" s="14" t="str">
        <x:v>Australopithecus at Sterkfontein did not consume substantial mammalian meat</x:v>
      </x:c>
      <x:c r="C57" s="14" t="str">
        <x:v>2025</x:v>
      </x:c>
      <x:c r="D57" s="20" t="str">
        <x:v>https://pubmed.ncbi.nlm.nih.gov/39818884/</x:v>
      </x:c>
      <x:c r="E57" s="14" t="str">
        <x:v>Science, DOI 10.1126/science.adq7315. Азот в древней эмали измерять возможно; конкретные данные относятся к семи Australopithecus из Стеркфонтейна.</x:v>
      </x:c>
      <x:c r="F57" s="14" t="str">
        <x:v>Первичная работа</x:v>
      </x:c>
      <x:c r="G57" s="14" t="str">
        <x:v>Аннотация и доступный текст</x:v>
      </x:c>
      <x:c r="H57" s="14" t="str">
        <x:v>V03</x:v>
      </x:c>
      <x:c r="I57" s="14" t="str">
        <x:v>V03.2</x:v>
      </x:c>
    </x:row>
    <x:row r="58" ht="63" customHeight="1">
      <x:c r="A58" s="9" t="str">
        <x:v>R53</x:v>
      </x:c>
      <x:c r="B58" s="9" t="str">
        <x:v>Human local adaptation of the TRPM8 cold receptor along a latitudinal cline</x:v>
      </x:c>
      <x:c r="C58" s="9" t="str">
        <x:v>2018</x:v>
      </x:c>
      <x:c r="D58" s="17" t="str">
        <x:v>https://pmc.ncbi.nlm.nih.gov/articles/PMC5933706/</x:v>
      </x:c>
      <x:c r="E58" s="9" t="str">
        <x:v>PLOS Genetics, DOI 10.1371/journal.pgen.1007298. Адаптация современных человеческих популяций; не прямое подтверждение заявленного денисовского механизма.</x:v>
      </x:c>
      <x:c r="F58" s="9" t="str">
        <x:v>Первичная работа</x:v>
      </x:c>
      <x:c r="G58" s="9" t="str">
        <x:v>Аннотация и доступный текст</x:v>
      </x:c>
      <x:c r="H58" s="9" t="str">
        <x:v>V03</x:v>
      </x:c>
      <x:c r="I58" s="9" t="str">
        <x:v>V03.3</x:v>
      </x:c>
    </x:row>
    <x:row r="59" ht="63" customHeight="1">
      <x:c r="A59" s="14" t="str">
        <x:v>R54</x:v>
      </x:c>
      <x:c r="B59" s="14" t="str">
        <x:v>Identification of Putative Target Genes of the Transcription Factor RUNX2</x:v>
      </x:c>
      <x:c r="C59" s="14" t="str">
        <x:v>2013</x:v>
      </x:c>
      <x:c r="D59" s="20" t="str">
        <x:v>https://pmc.ncbi.nlm.nih.gov/articles/PMC3861491/</x:v>
      </x:c>
      <x:c r="E59" s="14" t="str">
        <x:v>Эксперимент по регуляторным мишеням; в сравненных геномах нет аминокислотных различий RUNX2 человека, неандертальца и денисовца.</x:v>
      </x:c>
      <x:c r="F59" s="14" t="str">
        <x:v>Первичная работа</x:v>
      </x:c>
      <x:c r="G59" s="14" t="str">
        <x:v>Аннотация и доступный текст</x:v>
      </x:c>
      <x:c r="H59" s="14" t="str">
        <x:v>V03</x:v>
      </x:c>
      <x:c r="I59" s="14" t="str">
        <x:v>V03.4</x:v>
      </x:c>
    </x:row>
    <x:row r="60" ht="63" customHeight="1">
      <x:c r="A60" s="9" t="str">
        <x:v>R55</x:v>
      </x:c>
      <x:c r="B60" s="9" t="str">
        <x:v>Possible link between Earth’s rotation rate and oxygenation</x:v>
      </x:c>
      <x:c r="C60" s="9" t="str">
        <x:v>2021</x:v>
      </x:c>
      <x:c r="D60" s="17" t="str">
        <x:v>https://www.nature.com/articles/s41561-021-00784-3</x:v>
      </x:c>
      <x:c r="E60" s="9" t="str">
        <x:v>Различает кислородный фотосинтез и последующее накопление кислорода; GOE около 2,4 млрд.</x:v>
      </x:c>
      <x:c r="F60" s="9" t="str">
        <x:v>Первичная работа</x:v>
      </x:c>
      <x:c r="G60" s="9" t="str">
        <x:v>Аннотация и доступный текст</x:v>
      </x:c>
      <x:c r="H60" s="9" t="str">
        <x:v>V05</x:v>
      </x:c>
      <x:c r="I60" s="9" t="str">
        <x:v>V05.3</x:v>
      </x:c>
    </x:row>
    <x:row r="61" ht="63" customHeight="1">
      <x:c r="A61" s="14" t="str">
        <x:v>R56</x:v>
      </x:c>
      <x:c r="B61" s="14" t="str">
        <x:v>The genetical evolution of social behaviour. I</x:v>
      </x:c>
      <x:c r="C61" s="14" t="str">
        <x:v>1964</x:v>
      </x:c>
      <x:c r="D61" s="20" t="str">
        <x:v>https://www.sciencedirect.com/science/article/pii/0022519364900384</x:v>
      </x:c>
      <x:c r="E61" s="14" t="str">
        <x:v>DOI 10.1016/0022-5193(64)90038-4. Теоретическая модель родственного отбора с явно заданными условиями.</x:v>
      </x:c>
      <x:c r="F61" s="14" t="str">
        <x:v>Первичная работа</x:v>
      </x:c>
      <x:c r="G61" s="14" t="str">
        <x:v>Аннотация и доступный текст</x:v>
      </x:c>
      <x:c r="H61" s="14" t="str">
        <x:v>V04</x:v>
      </x:c>
      <x:c r="I61" s="14" t="str">
        <x:v>V04.1; V04.3</x:v>
      </x:c>
    </x:row>
    <x:row r="62" ht="63" customHeight="1">
      <x:c r="A62" s="9" t="str">
        <x:v>R57</x:v>
      </x:c>
      <x:c r="B62" s="9" t="str">
        <x:v>Ancient DNA reveals pervasive directional selection across West Eurasia</x:v>
      </x:c>
      <x:c r="C62" s="9" t="str">
        <x:v>2026</x:v>
      </x:c>
      <x:c r="D62" s="17" t="str">
        <x:v>https://www.nature.com/articles/s41586-026-10358-1</x:v>
      </x:c>
      <x:c r="E62" s="9" t="str">
        <x:v>15.04.2026. 15 836 древних западноевразийцев; направленный отбор, в том числе вариантов, связанных с современными когнитивными показателями. Древний адаптивный фенотип не установлен.</x:v>
      </x:c>
      <x:c r="F62" s="9" t="str">
        <x:v>Первичная работа</x:v>
      </x:c>
      <x:c r="G62" s="9" t="str">
        <x:v>Аннотация и подписи к доступным рисункам; полный текст за подпиской</x:v>
      </x:c>
      <x:c r="H62" s="9" t="str">
        <x:v>V03</x:v>
      </x:c>
      <x:c r="I62" s="9" t="str">
        <x:v>V03.5</x:v>
      </x:c>
    </x:row>
    <x:row r="63" ht="63" customHeight="1">
      <x:c r="A63" s="14" t="str">
        <x:v>R58</x:v>
      </x:c>
      <x:c r="B63" s="14" t="str">
        <x:v>Early Neanderthal constructions deep in Bruniquel Cave in southwestern France</x:v>
      </x:c>
      <x:c r="C63" s="14" t="str">
        <x:v>2016</x:v>
      </x:c>
      <x:c r="D63" s="20" t="str">
        <x:v>https://www.nature.com/articles/nature18291</x:v>
      </x:c>
      <x:c r="E63" s="14" t="str">
        <x:v>Сооружения 176,5±2,1 тыс. лет; факт строительства не равнозначен доказанному ритуалу.</x:v>
      </x:c>
      <x:c r="F63" s="14" t="str">
        <x:v>Первичная работа</x:v>
      </x:c>
      <x:c r="G63" s="14" t="str">
        <x:v>Аннотация и доступный текст</x:v>
      </x:c>
      <x:c r="H63" s="14" t="str">
        <x:v>A14</x:v>
      </x:c>
      <x:c r="I63" s="14" t="str"/>
    </x:row>
    <x:row r="64" ht="63" customHeight="1">
      <x:c r="A64" s="9" t="str">
        <x:v>R59</x:v>
      </x:c>
      <x:c r="B64" s="9" t="str">
        <x:v>A 100,000-year-old ochre-processing workshop at Blombos Cave, South Africa</x:v>
      </x:c>
      <x:c r="C64" s="9" t="str">
        <x:v>2011</x:v>
      </x:c>
      <x:c r="D64" s="17" t="str">
        <x:v>https://pubmed.ncbi.nlm.nih.gov/21998386/</x:v>
      </x:c>
      <x:c r="E64" s="9" t="str">
        <x:v>Science, DOI 10.1126/science.1211535. Независимое подтверждение возраста комплекса Бломбос.</x:v>
      </x:c>
      <x:c r="F64" s="9" t="str">
        <x:v>Первичная работа</x:v>
      </x:c>
      <x:c r="G64" s="9" t="str">
        <x:v>Аннотация и доступный текст</x:v>
      </x:c>
      <x:c r="H64" s="9" t="str">
        <x:v>A17</x:v>
      </x:c>
      <x:c r="I64" s="9" t="str"/>
    </x:row>
  </x:sheetData>
  <x:hyperlinks>
    <x:hyperlink ref="D6" r:id="research6"/>
    <x:hyperlink ref="D7" r:id="research7"/>
    <x:hyperlink ref="D8" r:id="research8"/>
    <x:hyperlink ref="D9" r:id="research9"/>
    <x:hyperlink ref="D10" r:id="research10"/>
    <x:hyperlink ref="D11" r:id="research11"/>
    <x:hyperlink ref="D12" r:id="research12"/>
    <x:hyperlink ref="D13" r:id="research13"/>
    <x:hyperlink ref="D14" r:id="research14"/>
    <x:hyperlink ref="D15" r:id="research15"/>
    <x:hyperlink ref="D16" r:id="research16"/>
    <x:hyperlink ref="D17" r:id="research17"/>
    <x:hyperlink ref="D18" r:id="research18"/>
    <x:hyperlink ref="D19" r:id="research19"/>
    <x:hyperlink ref="D20" r:id="research20"/>
    <x:hyperlink ref="D21" r:id="research21"/>
    <x:hyperlink ref="D22" r:id="research22"/>
    <x:hyperlink ref="D23" r:id="research23"/>
    <x:hyperlink ref="D24" r:id="research24"/>
    <x:hyperlink ref="D25" r:id="research25"/>
    <x:hyperlink ref="D26" r:id="research26"/>
    <x:hyperlink ref="D27" r:id="research27"/>
    <x:hyperlink ref="D28" r:id="research28"/>
    <x:hyperlink ref="D29" r:id="research29"/>
    <x:hyperlink ref="D30" r:id="research30"/>
    <x:hyperlink ref="D31" r:id="research31"/>
    <x:hyperlink ref="D32" r:id="research32"/>
    <x:hyperlink ref="D33" r:id="research33"/>
    <x:hyperlink ref="D34" r:id="research34"/>
    <x:hyperlink ref="D35" r:id="research35"/>
    <x:hyperlink ref="D36" r:id="research36"/>
    <x:hyperlink ref="D37" r:id="research37"/>
    <x:hyperlink ref="D38" r:id="research38"/>
    <x:hyperlink ref="D39" r:id="research39"/>
    <x:hyperlink ref="D40" r:id="research40"/>
    <x:hyperlink ref="D41" r:id="research41"/>
    <x:hyperlink ref="D42" r:id="research42"/>
    <x:hyperlink ref="D43" r:id="research43"/>
    <x:hyperlink ref="D44" r:id="research44"/>
    <x:hyperlink ref="D45" r:id="research45"/>
    <x:hyperlink ref="D46" r:id="research46"/>
    <x:hyperlink ref="D47" r:id="research47"/>
    <x:hyperlink ref="D48" r:id="research48"/>
    <x:hyperlink ref="D49" r:id="research49"/>
    <x:hyperlink ref="D50" r:id="research50"/>
    <x:hyperlink ref="D51" r:id="research51"/>
    <x:hyperlink ref="D52" r:id="research52"/>
    <x:hyperlink ref="D53" r:id="research53"/>
    <x:hyperlink ref="D54" r:id="research54"/>
    <x:hyperlink ref="D55" r:id="research55"/>
    <x:hyperlink ref="D56" r:id="research56"/>
    <x:hyperlink ref="D57" r:id="research57"/>
    <x:hyperlink ref="D58" r:id="research58"/>
    <x:hyperlink ref="D59" r:id="research59"/>
    <x:hyperlink ref="D60" r:id="research60"/>
    <x:hyperlink ref="D61" r:id="research61"/>
    <x:hyperlink ref="D62" r:id="research62"/>
    <x:hyperlink ref="D63" r:id="research63"/>
    <x:hyperlink ref="D64" r:id="research64"/>
  </x:hyperlinks>
  <x:pageMargins left="0.7" right="0.7" top="0.75" bottom="0.75" header="0.3" footer="0.3"/>
  <x:tableParts count="1">
    <x:tablePart xmlns:r="http://schemas.openxmlformats.org/officeDocument/2006/relationships" r:id="R23bf3cf2162b42ef"/>
  </x:tableParts>
</x:worksheet>
</file>

<file path=xl/worksheets/sheet4.xml><?xml version="1.0" encoding="utf-8"?>
<x:worksheet xmlns:x="http://schemas.openxmlformats.org/spreadsheetml/2006/main">
  <x:sheetPr>
    <x:tabColor rgb="FF8C999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.5" hidden="0" customWidth="1"/>
    <x:col min="2" max="2" width="127.5" hidden="0" customWidth="1"/>
  </x:cols>
  <x:sheetData>
    <x:row r="1">
      <x:c r="A1" s="1"/>
      <x:c r="B1" s="1"/>
    </x:row>
    <x:row r="2">
      <x:c r="A2" s="3" t="str">
        <x:v>Метод и границы проверки</x:v>
      </x:c>
      <x:c r="B2" s="1"/>
    </x:row>
    <x:row r="3">
      <x:c r="A3" s="5" t="str">
        <x:v>Эта таблица — пересмотр первого аудита, а не полный систематический обзор всей литературы по эволюции.</x:v>
      </x:c>
      <x:c r="B3" s="1"/>
    </x:row>
    <x:row r="4">
      <x:c r="A4" s="6"/>
      <x:c r="B4" s="6"/>
    </x:row>
    <x:row r="5" ht="36" customHeight="1">
      <x:c r="A5" s="13" t="str">
        <x:v>Параметр</x:v>
      </x:c>
      <x:c r="B5" s="13" t="str">
        <x:v>Пояснение</x:v>
      </x:c>
    </x:row>
    <x:row r="6" ht="63" customHeight="1">
      <x:c r="A6" s="9" t="str">
        <x:v>Назначение</x:v>
      </x:c>
      <x:c r="B6" s="9" t="str">
        <x:v>Использовать повторную проверку для последующих точечных правок. Прежние рекомендации сохранены как история, часть из них снята.</x:v>
      </x:c>
    </x:row>
    <x:row r="7" ht="63" customHeight="1">
      <x:c r="A7" s="14" t="str">
        <x:v>Охват</x:v>
      </x:c>
      <x:c r="B7" s="14" t="str">
        <x:v>Все 48 ID первого аудита; 33 A-позиции, 9 D-позиций, 6 V-блоков. V-блоки дополнительно раскрыты в 24 подпунктах.</x:v>
      </x:c>
    </x:row>
    <x:row r="8" ht="63" customHeight="1">
      <x:c r="A8" s="9" t="str">
        <x:v>Итог для прежних 33 правок</x:v>
      </x:c>
      <x:c r="B8" s="9" t="str">
        <x:v>12 — исправить; 10 — уточнить; 7 — оставить; 4 — развитие экспозиции. Это позиции аудита, не число независимых ошибок.</x:v>
      </x:c>
    </x:row>
    <x:row r="9" ht="63" customHeight="1">
      <x:c r="A9" s="14" t="str">
        <x:v>Все 48 позиций</x:v>
      </x:c>
      <x:c r="B9" s="14" t="str">
        <x:v>12 — исправить; 11 — уточнить; 15 — оставить; 4 — развитие; 6 — смешанные блоки.</x:v>
      </x:c>
    </x:row>
    <x:row r="10" ht="63" customHeight="1">
      <x:c r="A10" s="9" t="str">
        <x:v>Источники</x:v>
      </x:c>
      <x:c r="B10" s="9" t="str">
        <x:v>59 дополнительных материалов: первичные исследования, научная полемика/обзор и 3 страницы каталога Smithsonian. Антропогенез сохранён в исходном аудите и в последнем столбце главного листа.</x:v>
      </x:c>
    </x:row>
    <x:row r="11" ht="63" customHeight="1">
      <x:c r="A11" s="14" t="str">
        <x:v>Приоритет доказательств</x:v>
      </x:c>
      <x:c r="B11" s="14" t="str">
        <x:v>Год публикации учитывается вместе с качеством метода и предметом исследования. Ни популярный ресурс, ни самая новая гипотеза не получают автоматического приоритета.</x:v>
      </x:c>
    </x:row>
    <x:row r="12" ht="63" customHeight="1">
      <x:c r="A12" s="9" t="str">
        <x:v>Даты</x:v>
      </x:c>
      <x:c r="B12" s="9" t="str">
        <x:v>Различать возраст находки, минимальный возраст слоя, первое известное свидетельство, возраст разделения и условный ориентир карточки.</x:v>
      </x:c>
    </x:row>
    <x:row r="13" ht="63" customHeight="1">
      <x:c r="A13" s="14" t="str">
        <x:v>Метки решений</x:v>
      </x:c>
      <x:c r="B13" s="14" t="str">
        <x:v>Оставить — исправление факта не обосновано; уточнить — сохранить основу, ограничить смысл; исправить — изменить конкретный неверный тезис; развитие — необязательное расширение.</x:v>
      </x:c>
    </x:row>
    <x:row r="14" ht="63" customHeight="1">
      <x:c r="A14" s="9" t="str">
        <x:v>Составные блоки</x:v>
      </x:c>
      <x:c r="B14" s="9" t="str">
        <x:v>Решения принимать по подпунктам. 7 пометок «Не установлено» означают недостаток источника/данных, а не доказанную ложность.</x:v>
      </x:c>
    </x:row>
    <x:row r="15" ht="63" customHeight="1">
      <x:c r="A15" s="14" t="str">
        <x:v>Ограничения доступа</x:v>
      </x:c>
      <x:c r="B15" s="14" t="str">
        <x:v>R05: аннотация университетского репозитория. R57: аннотация и доступные подписи к рисункам. Полные закрытые тексты не изучены.</x:v>
      </x:c>
    </x:row>
    <x:row r="16" ht="63" customHeight="1">
      <x:c r="A16" s="9" t="str">
        <x:v>Снимок портала</x:v>
      </x:c>
      <x:c r="B16" s="9" t="str">
        <x:v>4c4825c3721b14885b0f6fe7def23467e6718119; исходные пути, страницы и якоря сохранены. Проверка заключений относится к этому снимку, не к неизвестному новому деплою.</x:v>
      </x:c>
    </x:row>
    <x:row r="17" ht="63" customHeight="1">
      <x:c r="A17" s="14" t="str">
        <x:v>Изменения на портале</x:v>
      </x:c>
      <x:c r="B17" s="14" t="str">
        <x:v>Контент портала, изображения и PDF не изменялись. Созданы только аналитические материалы.</x:v>
      </x:c>
    </x:row>
    <x:row r="18" ht="63" customHeight="1">
      <x:c r="A18" s="9" t="str">
        <x:v>Отчёт</x:v>
      </x:c>
      <x:c r="B18" s="9" t="str">
        <x:v>/Users/Sotnikov/code/evolution-atlas/docs/research/antropogenez-audit-2026-09-13/recheck.md</x:v>
      </x:c>
    </x:row>
    <x:row r="19" ht="63" customHeight="1">
      <x:c r="A19" s="14" t="str">
        <x:v>Машиночитаемые данные</x:v>
      </x:c>
      <x:c r="B19" s="14" t="str">
        <x:v>/Users/Sotnikov/code/evolution-atlas/docs/research/antropogenez-audit-2026-09-13/recheck.json</x:v>
      </x:c>
    </x:row>
    <x:row r="20" ht="63" customHeight="1">
      <x:c r="A20" s="9" t="str">
        <x:v>Предыдущая сверка</x:v>
      </x:c>
      <x:c r="B20" s="9" t="str">
        <x:v>/Users/Sotnikov/code/evolution-atlas/docs/research/antropogenez-audit-2026-09-13/report.md</x:v>
      </x:c>
    </x:row>
  </x:sheetData>
  <x:pageMargins left="0.7" right="0.7" top="0.75" bottom="0.75" header="0.3" footer="0.3"/>
  <x:tableParts count="1">
    <x:tablePart xmlns:r="http://schemas.openxmlformats.org/officeDocument/2006/relationships" r:id="Raca7564605fc4955"/>
  </x:tableParts>
</x:worksheet>
</file>