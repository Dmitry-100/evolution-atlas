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979be5ac8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авки" sheetId="1" r:id="R7f8cb1fbf0ae449f"/>
    <x:sheet xmlns:r="http://schemas.openxmlformats.org/officeDocument/2006/relationships" name="Решения" sheetId="2" r:id="R1d5227b4417d451e"/>
    <x:sheet xmlns:r="http://schemas.openxmlformats.org/officeDocument/2006/relationships" name="Допроверка" sheetId="3" r:id="R8618a12b3c514731"/>
    <x:sheet xmlns:r="http://schemas.openxmlformats.org/officeDocument/2006/relationships" name="Покрытие" sheetId="4" r:id="Rd7e679ab9617484a"/>
    <x:sheet xmlns:r="http://schemas.openxmlformats.org/officeDocument/2006/relationships" name="Источники" sheetId="5" r:id="Rf1cfcfd28dbd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6343B"/>
      <x:name val="Arial"/>
    </x:font>
    <x:font>
      <x:b/>
      <x:sz val="15"/>
      <x:color rgb="FF243F4B"/>
      <x:name val="Arial"/>
    </x:font>
    <x:font>
      <x:i/>
      <x:sz val="10"/>
      <x:color rgb="FF657781"/>
      <x:name val="Arial"/>
    </x:font>
    <x:font>
      <x:b/>
      <x:sz val="10"/>
      <x:color rgb="FFFFFFFF"/>
      <x:name val="Arial"/>
    </x:font>
    <x:font>
      <x:b/>
      <x:sz val="10"/>
      <x:color rgb="FF243F4B"/>
      <x:name val="Arial"/>
    </x:font>
    <x:font>
      <x:sz val="10"/>
      <x:color rgb="FF236EA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F4B"/>
      </x:patternFill>
    </x:fill>
    <x:fill>
      <x:patternFill patternType="solid">
        <x:fgColor rgb="FFF2F5F6"/>
      </x:patternFill>
    </x:fill>
    <x:fill>
      <x:patternFill patternType="solid">
        <x:fgColor rgb="FFFFF3D1"/>
      </x:patternFill>
    </x:fill>
  </x:fills>
  <x:borders count="5">
    <x:border/>
    <x:border>
      <x:bottom style="thin">
        <x:color rgb="FF243F4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13F32"/>
      </x:font>
      <x:fill>
        <x:patternFill patternType="solid">
          <x:bgColor rgb="FFFBE6E2"/>
        </x:patternFill>
      </x:fill>
    </x:dxf>
    <x:dxf>
      <x:font>
        <x:color rgb="FF71551B"/>
      </x:font>
      <x:fill>
        <x:patternFill patternType="solid">
          <x:bgColor rgb="FFFFF3D1"/>
        </x:patternFill>
      </x:fill>
    </x:dxf>
    <x:dxf>
      <x:font>
        <x:color rgb="FF2D5A31"/>
      </x:font>
      <x:fill>
        <x:patternFill patternType="solid">
          <x:bgColor rgb="FFE1EEDF"/>
        </x:patternFill>
      </x:fill>
    </x:dxf>
    <x:dxf>
      <x:font>
        <x:b/>
        <x:color rgb="FF913F32"/>
      </x:font>
      <x:fill>
        <x:patternFill patternType="solid">
          <x:bgColor rgb="FFFBE6E2"/>
        </x:patternFill>
      </x:fill>
    </x:dxf>
    <x:dxf>
      <x:font>
        <x:color rgb="FF71551B"/>
      </x:font>
      <x:fill>
        <x:patternFill patternType="solid">
          <x:bgColor rgb="FFFFF3D1"/>
        </x:patternFill>
      </x:fill>
    </x:dxf>
    <x:dxf>
      <x:font>
        <x:color rgb="FF2D5A31"/>
      </x:font>
      <x:fill>
        <x:patternFill patternType="solid">
          <x:bgColor rgb="FFE1EEDF"/>
        </x:patternFill>
      </x:fill>
    </x:dxf>
    <x:dxf>
      <x:font>
        <x:b/>
        <x:color rgb="FF913F32"/>
      </x:font>
      <x:fill>
        <x:patternFill patternType="solid">
          <x:bgColor rgb="FFFBE6E2"/>
        </x:patternFill>
      </x:fill>
    </x:dxf>
    <x:dxf>
      <x:font>
        <x:color rgb="FF71551B"/>
      </x:font>
      <x:fill>
        <x:patternFill patternType="solid">
          <x:bgColor rgb="FFFFF3D1"/>
        </x:patternFill>
      </x:fill>
    </x:dxf>
    <x:dxf>
      <x:font>
        <x:color rgb="FF2D5A31"/>
      </x:font>
      <x:fill>
        <x:patternFill patternType="solid">
          <x:bgColor rgb="FFE1EE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9ca0721ca4000" /><Relationship Type="http://schemas.openxmlformats.org/officeDocument/2006/relationships/theme" Target="/xl/theme/theme1.xml" Id="Re0ff765a6c874a19" /><Relationship Type="http://schemas.openxmlformats.org/officeDocument/2006/relationships/sharedStrings" Target="/xl/sharedStrings.xml" Id="Rb1aaf115eb0941fd" /><Relationship Type="http://schemas.openxmlformats.org/officeDocument/2006/relationships/worksheet" Target="/xl/worksheets/sheet1.xml" Id="R7f8cb1fbf0ae449f" /><Relationship Type="http://schemas.openxmlformats.org/officeDocument/2006/relationships/worksheet" Target="/xl/worksheets/sheet2.xml" Id="R1d5227b4417d451e" /><Relationship Type="http://schemas.openxmlformats.org/officeDocument/2006/relationships/worksheet" Target="/xl/worksheets/sheet3.xml" Id="R8618a12b3c514731" /><Relationship Type="http://schemas.openxmlformats.org/officeDocument/2006/relationships/worksheet" Target="/xl/worksheets/sheet4.xml" Id="Rd7e679ab9617484a" /><Relationship Type="http://schemas.openxmlformats.org/officeDocument/2006/relationships/worksheet" Target="/xl/worksheets/sheet5.xml" Id="Rf1cfcfd28dbd4663" /></Relationships>
</file>

<file path=xl/tables/table1.xml><?xml version="1.0" encoding="utf-8"?>
<x:table xmlns:x="http://schemas.openxmlformats.org/spreadsheetml/2006/main" id="1" name="Audit0" displayName="Audit0" ref="A5:M38" headerRowCount="1" totalsRowCount="0" totalsRowShown="0">
  <x:autoFilter ref="A5:M38"/>
  <x:tableColumns count="13">
    <x:tableColumn id="1" name="ID"/>
    <x:tableColumn id="2" name="Приоритет"/>
    <x:tableColumn id="3" name="Тип"/>
    <x:tableColumn id="4" name="Тема"/>
    <x:tableColumn id="5" name="Портал: сейчас"/>
    <x:tableColumn id="6" name="Источник: содержание"/>
    <x:tableColumn id="7" name="Вывод"/>
    <x:tableColumn id="8" name="Предлагаемое изменение"/>
    <x:tableColumn id="9" name="Источники"/>
    <x:tableColumn id="10" name="Точное место"/>
    <x:tableColumn id="11" name="Связи"/>
    <x:tableColumn id="12" name="Статус"/>
    <x:tableColumn id="13" name="Основ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1" displayName="Audit1" ref="A5:M14" headerRowCount="1" totalsRowCount="0" totalsRowShown="0">
  <x:autoFilter ref="A5:M14"/>
  <x:tableColumns count="13">
    <x:tableColumn id="1" name="ID"/>
    <x:tableColumn id="2" name="Приоритет"/>
    <x:tableColumn id="3" name="Тип"/>
    <x:tableColumn id="4" name="Тема"/>
    <x:tableColumn id="5" name="Портал: сейчас"/>
    <x:tableColumn id="6" name="Источник: содержание"/>
    <x:tableColumn id="7" name="Вывод"/>
    <x:tableColumn id="8" name="Предлагаемое изменение"/>
    <x:tableColumn id="9" name="Источники"/>
    <x:tableColumn id="10" name="Точное место"/>
    <x:tableColumn id="11" name="Связи"/>
    <x:tableColumn id="12" name="Статус"/>
    <x:tableColumn id="13" name="Основа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2" displayName="Audit2" ref="A5:M11" headerRowCount="1" totalsRowCount="0" totalsRowShown="0">
  <x:autoFilter ref="A5:M11"/>
  <x:tableColumns count="13">
    <x:tableColumn id="1" name="ID"/>
    <x:tableColumn id="2" name="Приоритет"/>
    <x:tableColumn id="3" name="Тип"/>
    <x:tableColumn id="4" name="Тема"/>
    <x:tableColumn id="5" name="Портал: сейчас"/>
    <x:tableColumn id="6" name="Источник: содержание"/>
    <x:tableColumn id="7" name="Вывод"/>
    <x:tableColumn id="8" name="Предлагаемое изменение"/>
    <x:tableColumn id="9" name="Источники"/>
    <x:tableColumn id="10" name="Точное место"/>
    <x:tableColumn id="11" name="Связи"/>
    <x:tableColumn id="12" name="Статус"/>
    <x:tableColumn id="13" name="Основа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" displayName="Coverage" ref="A5:D16" headerRowCount="1" totalsRowCount="0" totalsRowShown="0">
  <x:autoFilter ref="A5:D16"/>
  <x:tableColumns count="4">
    <x:tableColumn id="1" name="Раздел"/>
    <x:tableColumn id="2" name="Объём проверки"/>
    <x:tableColumn id="3" name="Результат / граница"/>
    <x:tableColumn id="4" name="Файл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" displayName="SourceRegister" ref="A5:E47" headerRowCount="1" totalsRowCount="0" totalsRowShown="0">
  <x:autoFilter ref="A5:E47"/>
  <x:tableColumns count="5">
    <x:tableColumn id="1" name="ID"/>
    <x:tableColumn id="2" name="Материал"/>
    <x:tableColumn id="3" name="Ссылка"/>
    <x:tableColumn id="4" name="Дата материала"/>
    <x:tableColumn id="5" name="Позиции таблиц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a0e527fc4344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c2747199b1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4696d098f141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283133b6bf4e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21fb1a3c1148d1" /></Relationships>
</file>

<file path=xl/worksheets/sheet1.xml><?xml version="1.0" encoding="utf-8"?>
<x:worksheet xmlns:x="http://schemas.openxmlformats.org/spreadsheetml/2006/main">
  <x:sheetPr>
    <x:tabColor rgb="FF243F4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5" hidden="0" customWidth="1"/>
    <x:col min="2" max="2" width="9.5" hidden="0" customWidth="1"/>
    <x:col min="3" max="3" width="18.75" hidden="0" customWidth="1"/>
    <x:col min="4" max="4" width="33.75" hidden="0" customWidth="1"/>
    <x:col min="5" max="5" width="50" hidden="0" customWidth="1"/>
    <x:col min="6" max="6" width="46.25" hidden="0" customWidth="1"/>
    <x:col min="7" max="7" width="45" hidden="0" customWidth="1"/>
    <x:col min="8" max="8" width="57.5" hidden="0" customWidth="1"/>
    <x:col min="9" max="9" width="16.8799991607666" hidden="0" customWidth="1"/>
    <x:col min="10" max="10" width="51.25" hidden="0" customWidth="1"/>
    <x:col min="11" max="11" width="15" hidden="0" customWidth="1"/>
    <x:col min="12" max="12" width="23.75" hidden="0" customWidth="1"/>
    <x:col min="13" max="13" width="25.62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Правки · Антропогенез.РУ × портал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5" t="str">
        <x:v>13.09.2026 · 33 рабочих позиции: 17 P1, 14 P2, 2 P3. P1 — сначала; P2 — уточнение; P3 — расширение. Предложения ещё не внесены.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6" customHeight="1">
      <x:c r="A5" s="13" t="str">
        <x:v>ID</x:v>
      </x:c>
      <x:c r="B5" s="14" t="str">
        <x:v>Приоритет</x:v>
      </x:c>
      <x:c r="C5" s="14" t="str">
        <x:v>Тип</x:v>
      </x:c>
      <x:c r="D5" s="14" t="str">
        <x:v>Тема</x:v>
      </x:c>
      <x:c r="E5" s="14" t="str">
        <x:v>Портал: сейчас</x:v>
      </x:c>
      <x:c r="F5" s="14" t="str">
        <x:v>Источник: содержание</x:v>
      </x:c>
      <x:c r="G5" s="14" t="str">
        <x:v>Вывод</x:v>
      </x:c>
      <x:c r="H5" s="14" t="str">
        <x:v>Предлагаемое изменение</x:v>
      </x:c>
      <x:c r="I5" s="14" t="str">
        <x:v>Источники</x:v>
      </x:c>
      <x:c r="J5" s="14" t="str">
        <x:v>Точное место</x:v>
      </x:c>
      <x:c r="K5" s="14" t="str">
        <x:v>Связи</x:v>
      </x:c>
      <x:c r="L5" s="14" t="str">
        <x:v>Статус</x:v>
      </x:c>
      <x:c r="M5" s="15" t="str">
        <x:v>Основание</x:v>
      </x:c>
    </x:row>
    <x:row r="6" ht="73.5" customHeight="1">
      <x:c r="A6" s="17" t="str">
        <x:v>A01</x:v>
      </x:c>
      <x:c r="B6" s="19" t="str">
        <x:v>P1</x:v>
      </x:c>
      <x:c r="C6" s="8" t="str">
        <x:v>Модель родства</x:v>
      </x:c>
      <x:c r="D6" s="8" t="str">
        <x:v>Дерево: родство вычисляется по датам</x:v>
      </x:c>
      <x:c r="E6" s="8" t="str">
        <x:v>В buildCladogram ветви получают ближайший более древний узел; кандидаты в предки собраны в один ствол по ageMa.</x:v>
      </x:c>
      <x:c r="F6" s="8" t="str">
        <x:v>В «Достающем звене» происхождение ранних гоминин и промежуточных Homo рассматривается как набор гипотез; схема 2024 содержит несколько одновременных ветвей.</x:v>
      </x:c>
      <x:c r="G6" s="8" t="str">
        <x:v>Хронологический сосед не обязательно предок. Замена даты карточки может изменить научный смысл дерева без изменения данных о родстве.</x:v>
      </x:c>
      <x:c r="H6" s="8" t="str">
        <x:v>Хранить связи и их уверенность явно, отдельно от дат. Ископаемые представители не должны автоматически становиться общими предками. Неподтверждённые связи обозначать как гипотезы.</x:v>
      </x:c>
      <x:c r="I6" s="22" t="e">
        <x:f>HYPERLINK("#'Источники'!A38","S33; S39; S10")</x:f>
        <x:v>HYPERLINK is not implemented. linkLocation=#'Источники'!A38, friendlyName=S33; S39; S10</x:v>
      </x:c>
      <x:c r="J6" s="8" t="str">
        <x:v>src/lib/cladogram.ts:630
function findNearestOlderTrunkStage
src/lib/cladogram.ts:698
export function buildCladogram</x:v>
      </x:c>
      <x:c r="K6" s="8" t="str">
        <x:v>A02, A03</x:v>
      </x:c>
      <x:c r="L6" s="21" t="str">
        <x:v>К рассмотрению</x:v>
      </x:c>
      <x:c r="M6" s="8" t="str">
        <x:v>Антропогенез.РУ</x:v>
      </x:c>
    </x:row>
    <x:row r="7" ht="73.5" customHeight="1">
      <x:c r="A7" s="18" t="str">
        <x:v>A02</x:v>
      </x:c>
      <x:c r="B7" s="20" t="str">
        <x:v>P1</x:v>
      </x:c>
      <x:c r="C7" s="16" t="str">
        <x:v>Ошибка</x:v>
      </x:c>
      <x:c r="D7" s="16" t="str">
        <x:v>Долгопяты внутри антропоидного узла</x:v>
      </x:c>
      <x:c r="E7" s="16" t="str">
        <x:v>branch-tarsiers: parentId=anthropoids, ageMa=45; общий предок по умолчанию — «Предок антропоидов», 40 млн лет.</x:v>
      </x:c>
      <x:c r="F7" s="16" t="str">
        <x:v>Архицебус возрастом 54,8–55,8 млн лет обсуждается в контексте раннего разделения долгопятообразных и антропоидов.</x:v>
      </x:c>
      <x:c r="G7" s="16" t="str">
        <x:v>Долгопяты прикреплены к узлу Simiiformes, а вычисленный предок на 5 млн лет моложе самой ветви.</x:v>
      </x:c>
      <x:c r="H7" s="16" t="str">
        <x:v>Добавить общий узел сухоносых приматов до разделения Tarsiiformes и Simiiformes. Не приравнивать возраст архицебуса к точно установленной дате разделения.</x:v>
      </x:c>
      <x:c r="I7" s="23" t="e">
        <x:f>HYPERLINK("#'Источники'!A24","S19; S29")</x:f>
        <x:v>HYPERLINK is not implemented. linkLocation=#'Источники'!A24, friendlyName=S19; S29</x:v>
      </x:c>
      <x:c r="J7" s="16" t="str">
        <x:v>src/lib/cladogram.ts:537
id: "branch-tarsiers"
src/data/lineage.ts:450
id: "anthropoids"</x:v>
      </x:c>
      <x:c r="K7" s="16" t="str">
        <x:v>A01, A05</x:v>
      </x:c>
      <x:c r="L7" s="21" t="str">
        <x:v>К рассмотрению</x:v>
      </x:c>
      <x:c r="M7" s="16" t="str">
        <x:v>Антропогенез.РУ</x:v>
      </x:c>
    </x:row>
    <x:row r="8" ht="109.5" customHeight="1">
      <x:c r="A8" s="17" t="str">
        <x:v>A03</x:v>
      </x:c>
      <x:c r="B8" s="19" t="str">
        <x:v>P1</x:v>
      </x:c>
      <x:c r="C8" s="8" t="str">
        <x:v>Неоднозначность</x:v>
      </x:c>
      <x:c r="D8" s="8" t="str">
        <x:v>Одна дата означает разные вещи</x:v>
      </x:c>
      <x:c r="E8" s="8" t="str">
        <x:v>Карточки показывают только formatAgeRu(stage.ageMa): 4,4 млн для Ardipithecus, 3,2 млн для Australopithecus, 300 тыс. для Denisovans.</x:v>
      </x:c>
      <x:c r="F8" s="8" t="str">
        <x:v>Каталог и дерево различают виды, интервалы находок и предполагаемые связи; датировка экземпляра не равна возрасту всей группы.</x:v>
      </x:c>
      <x:c r="G8" s="8" t="str">
        <x:v>Возраст конкретной находки, начало летописи группы и время разделения линий выглядят одинаково. Карта признаков дополнительно связывает их с появлением признака.</x:v>
      </x:c>
      <x:c r="H8" s="8" t="str">
        <x:v>Добавить тип даты и пояснение: «возраст представленной находки», «известный интервал», «оценка разделения». Дату признака и уверенность хранить отдельно. Показывать статус представителя/кандидата в предки в карточке.</x:v>
      </x:c>
      <x:c r="I8" s="22" t="e">
        <x:f>HYPERLINK("#'Источники'!A14","S09; S10")</x:f>
        <x:v>HYPERLINK is not implemented. linkLocation=#'Источники'!A14, friendlyName=S09; S10</x:v>
      </x:c>
      <x:c r="J8" s="8" t="str">
        <x:v>src/data/lineage.ts:36
export type EvolutionStage
src/components/atlas/StageDetailCard.tsx:130
&lt;p className="kicker"&gt;
src/data/glossary.ts:236
где признак входит</x:v>
      </x:c>
      <x:c r="K8" s="8" t="str">
        <x:v>A07–A14, D01–D06</x:v>
      </x:c>
      <x:c r="L8" s="21" t="str">
        <x:v>К рассмотрению</x:v>
      </x:c>
      <x:c r="M8" s="8" t="str">
        <x:v>Антропогенез.РУ</x:v>
      </x:c>
    </x:row>
    <x:row r="9" ht="58.5" customHeight="1">
      <x:c r="A9" s="18" t="str">
        <x:v>A04</x:v>
      </x:c>
      <x:c r="B9" s="20" t="str">
        <x:v>P2</x:v>
      </x:c>
      <x:c r="C9" s="16" t="str">
        <x:v>Уточнение</x:v>
      </x:c>
      <x:c r="D9" s="16" t="str">
        <x:v>Plesiadapis: название и набор признаков</x:v>
      </x:c>
      <x:c r="E9" s="16" t="str">
        <x:v>«Древние приматы»; «деревья, хватание, острое зрение, ловкость»; «цепкий хват».</x:v>
      </x:c>
      <x:c r="F9" s="16" t="str">
        <x:v>Плезиадапиформы отделяются от настоящих приматов; описаны когти, боковая ориентация глазниц, примитивный мозг и медленное древесное передвижение.</x:v>
      </x:c>
      <x:c r="G9" s="16" t="str">
        <x:v>Текст переносит типичный образ ловкого зрительно ориентированного примата на специализированного раннего родственника.</x:v>
      </x:c>
      <x:c r="H9" s="16" t="str">
        <x:v>Название: «Плезиадапис — родственник ранних приматов». Текст: «Древесное млекопитающее с когтями и длинной мордой; его строение отличалось от хватательной кисти и зрительной специализации настоящих приматов».</x:v>
      </x:c>
      <x:c r="I9" s="23" t="e">
        <x:f>HYPERLINK("#'Источники'!A37","S32; S28")</x:f>
        <x:v>HYPERLINK is not implemented. linkLocation=#'Источники'!A37, friendlyName=S32; S28</x:v>
      </x:c>
      <x:c r="J9" s="16" t="str">
        <x:v>src/data/lineage.ts:432
id: "plesiadapis"</x:v>
      </x:c>
      <x:c r="K9" s="16" t="str">
        <x:v>A03</x:v>
      </x:c>
      <x:c r="L9" s="21" t="str">
        <x:v>К рассмотрению</x:v>
      </x:c>
      <x:c r="M9" s="16" t="str">
        <x:v>Антропогенез.РУ</x:v>
      </x:c>
    </x:row>
    <x:row r="10" ht="58.5" customHeight="1">
      <x:c r="A10" s="17" t="str">
        <x:v>A05</x:v>
      </x:c>
      <x:c r="B10" s="19" t="str">
        <x:v>P2</x:v>
      </x:c>
      <x:c r="C10" s="8" t="str">
        <x:v>Уточнение</x:v>
      </x:c>
      <x:c r="D10" s="8" t="str">
        <x:v>Антропоиды: 40 млн и пропущенные ранние приматы</x:v>
      </x:c>
      <x:c r="E10" s="8" t="str">
        <x:v>После Plesiadapis 55 млн лет следует узел «Антропоиды», 40 млн лет; ранние настоящие приматы отдельно не представлены.</x:v>
      </x:c>
      <x:c r="F10" s="8" t="str">
        <x:v>Источник разбирает эоценовых адапоидов и омомисовых; для ранних антропоидов обсуждаются эосимиды около 55–45 млн лет.</x:v>
      </x:c>
      <x:c r="G10" s="8" t="str">
        <x:v>40 млн выглядит как дата возникновения группы; переход от плезиадаписа к антропоидам пропускает важную развилку.</x:v>
      </x:c>
      <x:c r="H10" s="8" t="str">
        <x:v>Обозначить 40 млн как выбранный срез либо дать диапазон со статусом ранних кандидатов; добавить пояснение о настоящих приматах раннего эоцена. Не заменять механически 40 на 55.</x:v>
      </x:c>
      <x:c r="I10" s="22" t="e">
        <x:f>HYPERLINK("#'Источники'!A34","S29; S30")</x:f>
        <x:v>HYPERLINK is not implemented. linkLocation=#'Источники'!A34, friendlyName=S29; S30</x:v>
      </x:c>
      <x:c r="J10" s="8" t="str">
        <x:v>src/data/lineage.ts:450
id: "anthropoids"</x:v>
      </x:c>
      <x:c r="K10" s="8" t="str">
        <x:v>A02, A03</x:v>
      </x:c>
      <x:c r="L10" s="21" t="str">
        <x:v>К рассмотрению</x:v>
      </x:c>
      <x:c r="M10" s="8" t="str">
        <x:v>Антропогенез.РУ</x:v>
      </x:c>
    </x:row>
    <x:row r="11" ht="58.5" customHeight="1">
      <x:c r="A11" s="18" t="str">
        <x:v>A06</x:v>
      </x:c>
      <x:c r="B11" s="20" t="str">
        <x:v>P2</x:v>
      </x:c>
      <x:c r="C11" s="16" t="str">
        <x:v>Уточнение</x:v>
      </x:c>
      <x:c r="D11" s="16" t="str">
        <x:v>Ранние человекообразные: единый пакет адаптаций</x:v>
      </x:c>
      <x:c r="E11" s="16" t="str">
        <x:v>«Ранние человекообразные теряют хвост и меняют плечевой пояс…», Proconsul, 20 млн лет.</x:v>
      </x:c>
      <x:c r="F11" s="16" t="str">
        <x:v>У ранних гоминоидов был мозаичный набор признаков; в описании проконсулид встречаются формы с хвостом и неспециализированными пропорциями конечностей.</x:v>
      </x:c>
      <x:c r="G11" s="16" t="str">
        <x:v>Обобщение создаёт впечатление синхронной утраты хвоста и современной специализации плеча у всей группы.</x:v>
      </x:c>
      <x:c r="H11" s="16" t="str">
        <x:v>«У ранних человекообразных постепенно складывались разные сочетания признаков. Проконсул иллюстрирует один из этапов; строение плеча и способы лазания ещё отличались от современных человекообразных».</x:v>
      </x:c>
      <x:c r="I11" s="23" t="e">
        <x:f>HYPERLINK("#'Источники'!A36","S31")</x:f>
        <x:v>HYPERLINK is not implemented. linkLocation=#'Источники'!A36, friendlyName=S31</x:v>
      </x:c>
      <x:c r="J11" s="16" t="str">
        <x:v>src/data/lineage.ts:510
id: "early-apes"</x:v>
      </x:c>
      <x:c r="K11" s="16" t="str">
        <x:v>A03</x:v>
      </x:c>
      <x:c r="L11" s="21" t="str">
        <x:v>К рассмотрению</x:v>
      </x:c>
      <x:c r="M11" s="16" t="str">
        <x:v>Антропогенез.РУ</x:v>
      </x:c>
    </x:row>
    <x:row r="12" ht="58.5" customHeight="1">
      <x:c r="A12" s="17" t="str">
        <x:v>A07</x:v>
      </x:c>
      <x:c r="B12" s="19" t="str">
        <x:v>P2</x:v>
      </x:c>
      <x:c r="C12" s="8" t="str">
        <x:v>Уточнение</x:v>
      </x:c>
      <x:c r="D12" s="8" t="str">
        <x:v>Ардипитеки: род и конкретный вид</x:v>
      </x:c>
      <x:c r="E12" s="8" t="str">
        <x:v>Ardipithecus — 4,4 млн лет; карточка называется «Ардипитеки».</x:v>
      </x:c>
      <x:c r="F12" s="8" t="str">
        <x:v>Источник различает более древнего A. kadabba и A. ramidus; 4,4 млн относится к ramidus и знаменитому скелету Арди.</x:v>
      </x:c>
      <x:c r="G12" s="8" t="str">
        <x:v>Род представлен датой одного вида без подписи к значению даты.</x:v>
      </x:c>
      <x:c r="H12" s="8" t="str">
        <x:v>«Ардипитек рамидус (Ardipithecus ramidus), около 4,4 млн лет»; отдельно упомянуть A. kadabba. Если сохраняется название рода, показать его более широкий диапазон.</x:v>
      </x:c>
      <x:c r="I12" s="22" t="e">
        <x:f>HYPERLINK("#'Источники'!A38","S33; S35")</x:f>
        <x:v>HYPERLINK is not implemented. linkLocation=#'Источники'!A38, friendlyName=S33; S35</x:v>
      </x:c>
      <x:c r="J12" s="8" t="str">
        <x:v>src/data/lineage.ts:555
id: "ardipithecus"</x:v>
      </x:c>
      <x:c r="K12" s="8" t="str">
        <x:v>A03</x:v>
      </x:c>
      <x:c r="L12" s="21" t="str">
        <x:v>К рассмотрению</x:v>
      </x:c>
      <x:c r="M12" s="8" t="str">
        <x:v>Антропогенез.РУ</x:v>
      </x:c>
    </x:row>
    <x:row r="13" ht="73.5" customHeight="1">
      <x:c r="A13" s="18" t="str">
        <x:v>A08</x:v>
      </x:c>
      <x:c r="B13" s="20" t="str">
        <x:v>P2</x:v>
      </x:c>
      <x:c r="C13" s="16" t="str">
        <x:v>Уточнение</x:v>
      </x:c>
      <x:c r="D13" s="16" t="str">
        <x:v>Австралопитеки: возраст Люси вместо истории группы</x:v>
      </x:c>
      <x:c r="E13" s="16" t="str">
        <x:v>Australopithecus — 3,2 млн лет; «Австралопитеки», иллюстрация Люси.</x:v>
      </x:c>
      <x:c r="F13" s="16" t="str">
        <x:v>В каталоге A. anamensis старше 4 млн лет; другие виды существовали в разные интервалы. 3,2 млн — возраст Люси.</x:v>
      </x:c>
      <x:c r="G13" s="16" t="str">
        <x:v>Датировка экземпляра скрывает разнообразие и длительность существования рода.</x:v>
      </x:c>
      <x:c r="H13" s="16" t="str">
        <x:v>«Афарский австралопитек: Люси, около 3,2 млн лет» плюс диапазон вида; либо обзор рода с несколькими видами. Прямохождение описать как уже существующий признак.</x:v>
      </x:c>
      <x:c r="I13" s="23" t="e">
        <x:f>HYPERLINK("#'Источники'!A14","S09; S34")</x:f>
        <x:v>HYPERLINK is not implemented. linkLocation=#'Источники'!A14, friendlyName=S09; S34</x:v>
      </x:c>
      <x:c r="J13" s="16" t="str">
        <x:v>src/data/lineage.ts:570
id: "australopithecus"
src/data/bodyTraits.ts:378
id: "move-bipedalism"</x:v>
      </x:c>
      <x:c r="K13" s="16" t="str">
        <x:v>A03, A21</x:v>
      </x:c>
      <x:c r="L13" s="21" t="str">
        <x:v>К рассмотрению</x:v>
      </x:c>
      <x:c r="M13" s="16" t="str">
        <x:v>Антропогенез.РУ</x:v>
      </x:c>
    </x:row>
    <x:row r="14" ht="73.5" customHeight="1">
      <x:c r="A14" s="17" t="str">
        <x:v>A09</x:v>
      </x:c>
      <x:c r="B14" s="19" t="str">
        <x:v>P1</x:v>
      </x:c>
      <x:c r="C14" s="8" t="str">
        <x:v>Несоответствие доказательству</x:v>
      </x:c>
      <x:c r="D14" s="8" t="str">
        <x:v>Изменения таза отнесены к 7 млн лет</x:v>
      </x:c>
      <x:c r="E14" s="8" t="str">
        <x:v>move-pelvis → hominins, 7 млн лет, «вероятно»; ранним гомининам приписана перестройка таза.</x:v>
      </x:c>
      <x:c r="F14" s="8" t="str">
        <x:v>Источник разводит признаки основания черепа у сахелантропа, бедренной кости у оррорина и таз ардипитека 4,4 млн лет.</x:v>
      </x:c>
      <x:c r="G14" s="8" t="str">
        <x:v>Гипотеза ранней двуногости подменяет конкретное анатомическое свидетельство строения таза.</x:v>
      </x:c>
      <x:c r="H14" s="8" t="str">
        <x:v>Показать таз Арди 4,4 млн лет как мозаичное свидетельство; для 7–6 млн лет назвать конкретные сохранившиеся кости и ограниченность вывода о походке.</x:v>
      </x:c>
      <x:c r="I14" s="22" t="e">
        <x:f>HYPERLINK("#'Источники'!A30","S25; S35")</x:f>
        <x:v>HYPERLINK is not implemented. linkLocation=#'Источники'!A30, friendlyName=S25; S35</x:v>
      </x:c>
      <x:c r="J14" s="8" t="str">
        <x:v>src/data/bodyTraits.ts:367
id: "move-pelvis"
src/data/lineage.ts:540
id: "hominins"</x:v>
      </x:c>
      <x:c r="K14" s="8" t="str">
        <x:v>A03, A27</x:v>
      </x:c>
      <x:c r="L14" s="21" t="str">
        <x:v>К рассмотрению</x:v>
      </x:c>
      <x:c r="M14" s="8" t="str">
        <x:v>Антропогенез.РУ</x:v>
      </x:c>
    </x:row>
    <x:row r="15" ht="73.5" customHeight="1">
      <x:c r="A15" s="18" t="str">
        <x:v>A10</x:v>
      </x:c>
      <x:c r="B15" s="20" t="str">
        <x:v>P1</x:v>
      </x:c>
      <x:c r="C15" s="16" t="str">
        <x:v>Хронология признака</x:v>
      </x:c>
      <x:c r="D15" s="16" t="str">
        <x:v>Каменные орудия закреплены за ранним Homo</x:v>
      </x:c>
      <x:c r="E15" s="16" t="str">
        <x:v>brain-stone-tools → early-homo, 2,8 млн лет, «подтверждено»; пояснение карты говорит о вхождении признака в ветвь.</x:v>
      </x:c>
      <x:c r="F15" s="16" t="str">
        <x:v>Ломекви 3: каменные орудия около 3,3 млн лет, древнее челюсти LD 350-1. Олдувайская традиция рассматривается отдельно.</x:v>
      </x:c>
      <x:c r="G15" s="16" t="str">
        <x:v>Основной текст не говорит «самые первые», но привязка карты создаёт такое прочтение и не показывает до-Homo орудия.</x:v>
      </x:c>
      <x:c r="H15" s="16" t="str">
        <x:v>Добавить самостоятельное событие «Каменные орудия известны около 3,3 млн лет назад; изготовитель точно не установлен». У раннего Homo оставить развитие каменных технологий.</x:v>
      </x:c>
      <x:c r="I15" s="23" t="e">
        <x:f>HYPERLINK("#'Источники'!A28","S23")</x:f>
        <x:v>HYPERLINK is not implemented. linkLocation=#'Источники'!A28, friendlyName=S23</x:v>
      </x:c>
      <x:c r="J15" s="16" t="str">
        <x:v>src/data/bodyTraits.ts:477
id: "brain-stone-tools"
src/data/lineage.ts:585
id: "early-homo"</x:v>
      </x:c>
      <x:c r="K15" s="16" t="str">
        <x:v>A03, A23</x:v>
      </x:c>
      <x:c r="L15" s="21" t="str">
        <x:v>К рассмотрению</x:v>
      </x:c>
      <x:c r="M15" s="16" t="str">
        <x:v>Антропогенез.РУ</x:v>
      </x:c>
    </x:row>
    <x:row r="16" ht="73.5" customHeight="1">
      <x:c r="A16" s="17" t="str">
        <x:v>A11</x:v>
      </x:c>
      <x:c r="B16" s="19" t="str">
        <x:v>P2</x:v>
      </x:c>
      <x:c r="C16" s="8" t="str">
        <x:v>Несоответствие доказательству</x:v>
      </x:c>
      <x:c r="D16" s="8" t="str">
        <x:v>Рост мозга привязан к челюсти LD 350-1</x:v>
      </x:c>
      <x:c r="E16" s="8" t="str">
        <x:v>Узел 2,8 млн лет обоснован LD 350-1, а к нему прикреплён brain-brain-growth.</x:v>
      </x:c>
      <x:c r="F16" s="8" t="str">
        <x:v>LD 350-1 — фрагмент нижней челюсти. В обзоре ранних Homo размеры мозга обсуждаются по другим, более поздним черепам, включая KNM-ER 1470.</x:v>
      </x:c>
      <x:c r="G16" s="8" t="str">
        <x:v>Челюсть не позволяет восстановить объём мозга её обладателя; одна датировка объединяет разные находки.</x:v>
      </x:c>
      <x:c r="H16" s="8" t="str">
        <x:v>Отделить первое свидетельство Homo от ряда черепов, показывающих изменение мозга. Назвать конкретный череп и его дату; оставить оговорку о большой вариабельности.</x:v>
      </x:c>
      <x:c r="I16" s="22" t="e">
        <x:f>HYPERLINK("#'Источники'!A28","S23; S40")</x:f>
        <x:v>HYPERLINK is not implemented. linkLocation=#'Источники'!A28, friendlyName=S23; S40</x:v>
      </x:c>
      <x:c r="J16" s="8" t="str">
        <x:v>src/data/bodyTraits.ts:466
id: "brain-brain-growth"
src/data/lineage.ts:585
id: "early-homo"</x:v>
      </x:c>
      <x:c r="K16" s="8" t="str">
        <x:v>A03</x:v>
      </x:c>
      <x:c r="L16" s="21" t="str">
        <x:v>К рассмотрению</x:v>
      </x:c>
      <x:c r="M16" s="8" t="str">
        <x:v>Антропогенез.РУ</x:v>
      </x:c>
    </x:row>
    <x:row r="17" ht="58.5" customHeight="1">
      <x:c r="A17" s="18" t="str">
        <x:v>A12</x:v>
      </x:c>
      <x:c r="B17" s="20" t="str">
        <x:v>P2</x:v>
      </x:c>
      <x:c r="C17" s="16" t="str">
        <x:v>Хронология признака</x:v>
      </x:c>
      <x:c r="D17" s="16" t="str">
        <x:v>Забота о слабых появляется лишь у гейдельбергского человека</x:v>
      </x:c>
      <x:c r="E17" s="16" t="str">
        <x:v>brain-care → heidelbergensis, 700 тыс. лет; «Забота внутри группы — … условие выживания».</x:v>
      </x:c>
      <x:c r="F17" s="16" t="str">
        <x:v>Беззубый человек Dmanisi 3444 + 3900 датируется 1,7–1,8 млн лет; возможная помощь соплеменников — одна из интерпретаций.</x:v>
      </x:c>
      <x:c r="G17" s="16" t="str">
        <x:v>Более раннее вероятное свидетельство отсутствует; поведенческая интерпретация звучит как необходимое объяснение.</x:v>
      </x:c>
      <x:c r="H17" s="16" t="str">
        <x:v>Добавить пример Дманиси с формулировкой «возможная забота»; уточнить, что само выживание без зубов не доказывает единственный сценарий помощи.</x:v>
      </x:c>
      <x:c r="I17" s="23" t="e">
        <x:f>HYPERLINK("#'Источники'!A17","S12")</x:f>
        <x:v>HYPERLINK is not implemented. linkLocation=#'Источники'!A17, friendlyName=S12</x:v>
      </x:c>
      <x:c r="J17" s="16" t="str">
        <x:v>src/data/bodyTraits.ts:543
id: "brain-care"</x:v>
      </x:c>
      <x:c r="K17" s="16" t="str">
        <x:v>A03</x:v>
      </x:c>
      <x:c r="L17" s="21" t="str">
        <x:v>К рассмотрению</x:v>
      </x:c>
      <x:c r="M17" s="16" t="str">
        <x:v>Антропогенез.РУ</x:v>
      </x:c>
    </x:row>
    <x:row r="18" ht="61.5" customHeight="1">
      <x:c r="A18" s="17" t="str">
        <x:v>A13</x:v>
      </x:c>
      <x:c r="B18" s="19" t="str">
        <x:v>P1</x:v>
      </x:c>
      <x:c r="C18" s="8" t="str">
        <x:v>Избыточная уверенность</x:v>
      </x:c>
      <x:c r="D18" s="8" t="str">
        <x:v>Язык: sapiens, 300 тыс., «подтверждено»</x:v>
      </x:c>
      <x:c r="E18" s="8" t="str">
        <x:v>brain-language → sapiens; confidence=solid; узел датирован 300 тыс. лет.</x:v>
      </x:c>
      <x:c r="F18" s="8" t="str">
        <x:v>В экспертных ответах обсуждается речь у неандертальцев; реконструкция речи по анатомии и генетике имеет ограничения.</x:v>
      </x:c>
      <x:c r="G18" s="8" t="str">
        <x:v>Наличие языка у современных людей, его возникновение и владение им ранними sapiens — разные утверждения.</x:v>
      </x:c>
      <x:c r="H18" s="8" t="str">
        <x:v>Оставить подтверждённым наличие языка у современных людей; происхождение обозначить как обсуждаемое. Не задавать 300 или 130 тыс. лет как установленный момент появления языка.</x:v>
      </x:c>
      <x:c r="I18" s="22" t="e">
        <x:f>HYPERLINK("#'Источники'!A23","S18; S14")</x:f>
        <x:v>HYPERLINK is not implemented. linkLocation=#'Источники'!A23, friendlyName=S18; S14</x:v>
      </x:c>
      <x:c r="J18" s="8" t="str">
        <x:v>src/data/bodyTraits.ts:554
id: "brain-language"
public/assets/materials/path-from-cell-to-human.pdf, с. 15</x:v>
      </x:c>
      <x:c r="K18" s="8" t="str">
        <x:v>A03, A25, V02</x:v>
      </x:c>
      <x:c r="L18" s="21" t="str">
        <x:v>К рассмотрению</x:v>
      </x:c>
      <x:c r="M18" s="8" t="str">
        <x:v>Антропогенез.РУ</x:v>
      </x:c>
    </x:row>
    <x:row r="19" ht="58.5" customHeight="1">
      <x:c r="A19" s="18" t="str">
        <x:v>A14</x:v>
      </x:c>
      <x:c r="B19" s="20" t="str">
        <x:v>P2</x:v>
      </x:c>
      <x:c r="C19" s="16" t="str">
        <x:v>Избыточная уверенность</x:v>
      </x:c>
      <x:c r="D19" s="16" t="str">
        <x:v>Символическое мышление как признак одного узла</x:v>
      </x:c>
      <x:c r="E19" s="16" t="str">
        <x:v>brain-symbols → sapiens, 300 тыс. лет, «подтверждено».</x:v>
      </x:c>
      <x:c r="F19" s="16" t="str">
        <x:v>Источник рассматривает возможные украшения неандертальцев и древние структуры Брюникеля; символический смысл находок требует интерпретации.</x:v>
      </x:c>
      <x:c r="G19" s="16" t="str">
        <x:v>Происхождение когнитивной способности нельзя напрямую датировать возрастом вида; она не показана у родственных линий.</x:v>
      </x:c>
      <x:c r="H19" s="16" t="str">
        <x:v>Дать несколько конкретных археологических примеров с датами и отдельной уверенностью в символической интерпретации. Не обозначать весь комплекс установленным для 300 тыс. лет.</x:v>
      </x:c>
      <x:c r="I19" s="23" t="e">
        <x:f>HYPERLINK("#'Источники'!A11","S06; S03")</x:f>
        <x:v>HYPERLINK is not implemented. linkLocation=#'Источники'!A11, friendlyName=S06; S03</x:v>
      </x:c>
      <x:c r="J19" s="16" t="str">
        <x:v>src/data/bodyTraits.ts:565
id: "brain-symbols"</x:v>
      </x:c>
      <x:c r="K19" s="16" t="str">
        <x:v>A03, A26</x:v>
      </x:c>
      <x:c r="L19" s="21" t="str">
        <x:v>К рассмотрению</x:v>
      </x:c>
      <x:c r="M19" s="16" t="str">
        <x:v>Антропогенез.РУ</x:v>
      </x:c>
    </x:row>
    <x:row r="20" ht="58.5" customHeight="1">
      <x:c r="A20" s="17" t="str">
        <x:v>A15</x:v>
      </x:c>
      <x:c r="B20" s="19" t="str">
        <x:v>P2</x:v>
      </x:c>
      <x:c r="C20" s="8" t="str">
        <x:v>Уточнение</x:v>
      </x:c>
      <x:c r="D20" s="8" t="str">
        <x:v>Херто: скрыты архаичные черты</x:v>
      </x:c>
      <x:c r="E20" s="8" t="str">
        <x:v>«поздние африканские находки Homo sapiens с хорошо выраженной современной морфологией».</x:v>
      </x:c>
      <x:c r="F20" s="8" t="str">
        <x:v>В Херто описаны Homo sapiens idaltu около 154–160 тыс. лет, сочетающие сапиентные и выраженные архаичные особенности.</x:v>
      </x:c>
      <x:c r="G20" s="8" t="str">
        <x:v>Текст делает находки похожими на полностью современных людей и обедняет важную мозаичность.</x:v>
      </x:c>
      <x:c r="H20" s="8" t="str">
        <x:v>«Ранние Homo sapiens из Херто, около 160 тыс. лет назад: сочетание современных и архаичных черт; часто выделяются как H. sapiens idaltu».</x:v>
      </x:c>
      <x:c r="I20" s="22" t="e">
        <x:f>HYPERLINK("#'Источники'!A22","S17; S27")</x:f>
        <x:v>HYPERLINK is not implemented. linkLocation=#'Источники'!A22, friendlyName=S17; S27</x:v>
      </x:c>
      <x:c r="J20" s="8" t="str">
        <x:v>src/data/humanOrigins.ts:64
id: "herto"</x:v>
      </x:c>
      <x:c r="K20" s="8" t="str">
        <x:v>D01</x:v>
      </x:c>
      <x:c r="L20" s="21" t="str">
        <x:v>К рассмотрению</x:v>
      </x:c>
      <x:c r="M20" s="8" t="str">
        <x:v>Антропогенез.РУ</x:v>
      </x:c>
    </x:row>
    <x:row r="21" ht="58.5" customHeight="1">
      <x:c r="A21" s="18" t="str">
        <x:v>A16</x:v>
      </x:c>
      <x:c r="B21" s="20" t="str">
        <x:v>P2</x:v>
      </x:c>
      <x:c r="C21" s="16" t="str">
        <x:v>Избыточная уверенность</x:v>
      </x:c>
      <x:c r="D21" s="16" t="str">
        <x:v>Африканская мозаика как установленная модель</x:v>
      </x:c>
      <x:c r="E21" s="16" t="str">
        <x:v>AFRICA_ORIGIN_NOTE: «современный Homo sapiens складывался в связанных популяциях по континенту».</x:v>
      </x:c>
      <x:c r="F21" s="16" t="str">
        <x:v>Статья 2018 года разбирает модель взаимодействующих африканских популяций и подчёркивает открытые вопросы об их вкладе и связях.</x:v>
      </x:c>
      <x:c r="G21" s="16" t="str">
        <x:v>Африканское происхождение и конкретная континентальная модель имеют разный уровень определённости. У маршрута likely есть, у вводного утверждения оговорки нет.</x:v>
      </x:c>
      <x:c r="H21" s="16" t="str">
        <x:v>«Homo sapiens сформировался в Африке. Одна из обсуждаемых моделей связывает его происхождение с взаимодействием нескольких африканских популяций».</x:v>
      </x:c>
      <x:c r="I21" s="23" t="e">
        <x:f>HYPERLINK("#'Источники'!A27","S22")</x:f>
        <x:v>HYPERLINK is not implemented. linkLocation=#'Источники'!A27, friendlyName=S22</x:v>
      </x:c>
      <x:c r="J21" s="16" t="str">
        <x:v>src/data/humanOrigins.ts:27
export const AFRICA_ORIGIN_NOTE</x:v>
      </x:c>
      <x:c r="K21" s="16" t="str">
        <x:v>A17</x:v>
      </x:c>
      <x:c r="L21" s="21" t="str">
        <x:v>К рассмотрению</x:v>
      </x:c>
      <x:c r="M21" s="16" t="str">
        <x:v>Антропогенез.РУ</x:v>
      </x:c>
    </x:row>
    <x:row r="22" ht="109.5" customHeight="1">
      <x:c r="A22" s="17" t="str">
        <x:v>A17</x:v>
      </x:c>
      <x:c r="B22" s="19" t="str">
        <x:v>P1</x:v>
      </x:c>
      <x:c r="C22" s="8" t="str">
        <x:v>Хронология / география</x:v>
      </x:c>
      <x:c r="D22" s="8" t="str">
        <x:v>Бломбос включён в маршрут 315–160 тыс. лет</x:v>
      </x:c>
      <x:c r="E22" s="8" t="str">
        <x:v>african-mosaic соединяет Jebel Irhoud → Omo → Herto → Blombos; дата 315–160 тыс.; Blombos датирован 100–70 тыс.</x:v>
      </x:c>
      <x:c r="F22" s="8" t="str">
        <x:v>Африканская модель не устанавливает такой последовательный маршрут между памятниками; в самом портале дата Бломбоса младше интервала линии.</x:v>
      </x:c>
      <x:c r="G22" s="8" t="str">
        <x:v>Схематическая оговорка о неточных путях не исправляет несовпадение периодов и не доказывает связи между этими четырьмя точками.</x:v>
      </x:c>
      <x:c r="H22" s="8" t="str">
        <x:v>Показывать это как распределение памятников разных эпох, без направленного маршрута; выделить Бломбос в более поздний культурный слой.</x:v>
      </x:c>
      <x:c r="I22" s="22" t="e">
        <x:f>HYPERLINK("#'Источники'!A27","S22")</x:f>
        <x:v>HYPERLINK is not implemented. linkLocation=#'Источники'!A27, friendlyName=S22</x:v>
      </x:c>
      <x:c r="J22" s="8" t="str">
        <x:v>src/data/humanOrigins.ts:99
id: "african-mosaic"
src/data/humanOrigins.ts:80
id: "blombos"
src/components/education/AfricaOriginMap.tsx:81
Маршрут {</x:v>
      </x:c>
      <x:c r="K22" s="8" t="str">
        <x:v>A16</x:v>
      </x:c>
      <x:c r="L22" s="21" t="str">
        <x:v>К рассмотрению</x:v>
      </x:c>
      <x:c r="M22" s="8" t="str">
        <x:v>Антропогенез.РУ + внутренняя сверка</x:v>
      </x:c>
    </x:row>
    <x:row r="23" ht="58.5" customHeight="1">
      <x:c r="A23" s="18" t="str">
        <x:v>A18</x:v>
      </x:c>
      <x:c r="B23" s="20" t="str">
        <x:v>P2</x:v>
      </x:c>
      <x:c r="C23" s="16" t="str">
        <x:v>Уточнение</x:v>
      </x:c>
      <x:c r="D23" s="16" t="str">
        <x:v>Восточная Азия: ранние даты без конкретных находок</x:v>
      </x:c>
      <x:c r="E23" s="16" t="str">
        <x:v>«120–40 тыс. лет назад, с несколькими волнами», «ранние спорные находки», confidence=debated.</x:v>
      </x:c>
      <x:c r="F23" s="16" t="str">
        <x:v>Разбор Кузьмина 2021 года описывает пересмотр ряда китайских датировок: напрямую датированные зубы оказались голоценовыми.</x:v>
      </x:c>
      <x:c r="G23" s="16" t="str">
        <x:v>Оговорка о спорности уже есть. Однако диапазон не различает отвергнутые датировки и сохраняющиеся кандидаты.</x:v>
      </x:c>
      <x:c r="H23" s="16" t="str">
        <x:v>Назвать памятники и основание каждой ранней даты; исключить пересмотренные образцы из аргументов за 120 тыс. лет. Надёжное распространение и ранние гипотезы показывать отдельно.</x:v>
      </x:c>
      <x:c r="I23" s="23" t="e">
        <x:f>HYPERLINK("#'Источники'!A10","S05")</x:f>
        <x:v>HYPERLINK is not implemented. linkLocation=#'Источники'!A10, friendlyName=S05</x:v>
      </x:c>
      <x:c r="J23" s="16" t="str">
        <x:v>src/data/humanOrigins.ts:175
id: "east-asia"</x:v>
      </x:c>
      <x:c r="K23" s="16" t="str"/>
      <x:c r="L23" s="21" t="str">
        <x:v>К рассмотрению</x:v>
      </x:c>
      <x:c r="M23" s="16" t="str">
        <x:v>Антропогенез.РУ</x:v>
      </x:c>
    </x:row>
    <x:row r="24" ht="58.5" customHeight="1">
      <x:c r="A24" s="17" t="str">
        <x:v>A19</x:v>
      </x:c>
      <x:c r="B24" s="19" t="str">
        <x:v>P2</x:v>
      </x:c>
      <x:c r="C24" s="8" t="str">
        <x:v>Неоднозначность</x:v>
      </x:c>
      <x:c r="D24" s="8" t="str">
        <x:v>Тест: неандертальцы «не предки»</x:v>
      </x:c>
      <x:c r="E24" s="8" t="str">
        <x:v>На вопрос «Неандертальцы были нашими прямыми предками?» правильный ответ: «Нет, это близкая боковая ветвь».</x:v>
      </x:c>
      <x:c r="F24" s="8" t="str">
        <x:v>Источник описывает метисацию: часть предков ряда современных популяций принадлежала архаическим человеческим линиям.</x:v>
      </x:c>
      <x:c r="G24" s="8" t="str">
        <x:v>Объяснение теста признаёт смешение, но короткий ответ смешивает происхождение вида и генеалогическое происхождение отдельных людей.</x:v>
      </x:c>
      <x:c r="H24" s="8" t="str">
        <x:v>Спросить: «Были ли неандертальцы обязательной ступенью превращения в Homo sapiens?» Ответ: «Нет: родственная ветвь, внесшая часть наследия через смешение».</x:v>
      </x:c>
      <x:c r="I24" s="22" t="e">
        <x:f>HYPERLINK("#'Источники'!A43","S38")</x:f>
        <x:v>HYPERLINK is not implemented. linkLocation=#'Источники'!A43, friendlyName=S38</x:v>
      </x:c>
      <x:c r="J24" s="8" t="str">
        <x:v>src/data/quiz.ts:292
"Неандертальцы были нашими прямыми предками?"</x:v>
      </x:c>
      <x:c r="K24" s="8" t="str">
        <x:v>A29</x:v>
      </x:c>
      <x:c r="L24" s="21" t="str">
        <x:v>К рассмотрению</x:v>
      </x:c>
      <x:c r="M24" s="8" t="str">
        <x:v>Антропогенез.РУ</x:v>
      </x:c>
    </x:row>
    <x:row r="25" ht="109.5" customHeight="1">
      <x:c r="A25" s="18" t="str">
        <x:v>A20</x:v>
      </x:c>
      <x:c r="B25" s="20" t="str">
        <x:v>P2</x:v>
      </x:c>
      <x:c r="C25" s="16" t="str">
        <x:v>Пробел источников</x:v>
      </x:c>
      <x:c r="D25" s="16" t="str">
        <x:v>Приоритет Антропогенеза отсутствует в данных портала</x:v>
      </x:c>
      <x:c r="E25" s="16" t="str">
        <x:v>В научных источниках, ссылках карточек и контексте AI-гида нет опорных страниц antropogenez.ru; карточка не выводит свои sources.</x:v>
      </x:c>
      <x:c r="F25" s="16" t="str">
        <x:v>У выбранного ресурса есть тематические главы, каталоги и более поздние разборы, которые расходятся с частью старых страниц.</x:v>
      </x:c>
      <x:c r="G25" s="16" t="str">
        <x:v>Будущая правка без источника, его версии и конкретного утверждения плохо воспроизводима; AI-гид получает те же исходные обобщения.</x:v>
      </x:c>
      <x:c r="H25" s="16" t="str">
        <x:v>Добавить прямые ссылки на использованные материалы к утверждениям и показывать их. Хранить дату проверки, смысл датировки и оговорку; в AI-контекст передавать эти же данные. Не сводить приоритет к одной ссылке на главную.</x:v>
      </x:c>
      <x:c r="I25" s="23" t="e">
        <x:f>HYPERLINK("#'Источники'!A46","S41; S09")</x:f>
        <x:v>HYPERLINK is not implemented. linkLocation=#'Источники'!A46, friendlyName=S41; S09</x:v>
      </x:c>
      <x:c r="J25" s="16" t="str">
        <x:v>src/data/scienceSources.ts:19
export const
src/components/atlas/StageDetailCard.tsx:21
stage: Omit
src/lib/aiGuideContext.ts:98
function summarizeStage</x:v>
      </x:c>
      <x:c r="K25" s="16" t="str">
        <x:v>Все A/D</x:v>
      </x:c>
      <x:c r="L25" s="21" t="str">
        <x:v>К рассмотрению</x:v>
      </x:c>
      <x:c r="M25" s="16" t="str">
        <x:v>Наблюдение по коду; требование пользователя</x:v>
      </x:c>
    </x:row>
    <x:row r="26" ht="73.5" customHeight="1">
      <x:c r="A26" s="17" t="str">
        <x:v>A21</x:v>
      </x:c>
      <x:c r="B26" s="19" t="str">
        <x:v>P3</x:v>
      </x:c>
      <x:c r="C26" s="8" t="str">
        <x:v>Пробел охвата</x:v>
      </x:c>
      <x:c r="D26" s="8" t="str">
        <x:v>Нет парантропов</x:v>
      </x:c>
      <x:c r="E26" s="8" t="str">
        <x:v>От «Австралопитеков» маршрут переходит к раннему Homo; самостоятельной ветви Paranthropus нет.</x:v>
      </x:c>
      <x:c r="F26" s="8" t="str">
        <x:v>Каталог и главы выделяют массивных австралопитековых — парантропов — как важную специализированную ветвь.</x:v>
      </x:c>
      <x:c r="G26" s="8" t="str">
        <x:v>Упрощение допустимо для короткого маршрута, но дерево слабо показывает параллельное разнообразие ранних гоминин.</x:v>
      </x:c>
      <x:c r="H26" s="8" t="str">
        <x:v>Добавить боковую карточку Paranthropus с примерами boisei/robustus; не встраивать её в цепь обязательных предков Homo.</x:v>
      </x:c>
      <x:c r="I26" s="22" t="e">
        <x:f>HYPERLINK("#'Источники'!A41","S36; S09")</x:f>
        <x:v>HYPERLINK is not implemented. linkLocation=#'Источники'!A41, friendlyName=S36; S09</x:v>
      </x:c>
      <x:c r="J26" s="8" t="str">
        <x:v>src/data/lineage.ts:570
id: "australopithecus"
src/lib/cladogram.ts:698
export function buildCladogram</x:v>
      </x:c>
      <x:c r="K26" s="8" t="str">
        <x:v>A08; расширение по выбору</x:v>
      </x:c>
      <x:c r="L26" s="21" t="str">
        <x:v>К рассмотрению</x:v>
      </x:c>
      <x:c r="M26" s="8" t="str">
        <x:v>Антропогенез.РУ</x:v>
      </x:c>
    </x:row>
    <x:row r="27" ht="58.5" customHeight="1">
      <x:c r="A27" s="18" t="str">
        <x:v>A22</x:v>
      </x:c>
      <x:c r="B27" s="20" t="str">
        <x:v>P3</x:v>
      </x:c>
      <x:c r="C27" s="16" t="str">
        <x:v>Пробел охвата</x:v>
      </x:c>
      <x:c r="D27" s="16" t="str">
        <x:v>Нет naledi, floresiensis и luzonensis в дереве</x:v>
      </x:c>
      <x:c r="E27" s="16" t="str">
        <x:v>Боковые человеческие линии представлены прежде всего неандертальцами и денисовцами; три названные группы отсутствуют.</x:v>
      </x:c>
      <x:c r="F27" s="16" t="str">
        <x:v>Дерево 2024 показывает эти формы; обзор 2019 подробно разбирает Homo luzonensis.</x:v>
      </x:c>
      <x:c r="G27" s="16" t="str">
        <x:v>Это не ложное утверждение, но исчезает важный пример одновременного разнообразия людей и мозаичной эволюции.</x:v>
      </x:c>
      <x:c r="H27" s="16" t="str">
        <x:v>Добавить необязательный слой боковых человеческих линий с интервалами находок и неустановленным точным положением там, где оно спорно.</x:v>
      </x:c>
      <x:c r="I27" s="23" t="e">
        <x:f>HYPERLINK("#'Источники'!A15","S10; S04")</x:f>
        <x:v>HYPERLINK is not implemented. linkLocation=#'Источники'!A15, friendlyName=S10; S04</x:v>
      </x:c>
      <x:c r="J27" s="16" t="str">
        <x:v>src/data/lineage.ts:634
id: "neanderthals"</x:v>
      </x:c>
      <x:c r="K27" s="16" t="str">
        <x:v>A24; расширение по выбору</x:v>
      </x:c>
      <x:c r="L27" s="21" t="str">
        <x:v>К рассмотрению</x:v>
      </x:c>
      <x:c r="M27" s="16" t="str">
        <x:v>Антропогенез.РУ</x:v>
      </x:c>
    </x:row>
    <x:row r="28" ht="58.5" customHeight="1">
      <x:c r="A28" s="17" t="str">
        <x:v>A23</x:v>
      </x:c>
      <x:c r="B28" s="19" t="str">
        <x:v>P1</x:v>
      </x:c>
      <x:c r="C28" s="8" t="str">
        <x:v>Ошибка</x:v>
      </x:c>
      <x:c r="D28" s="8" t="str">
        <x:v>PDF: Homo habilis изготовил первые каменные орудия</x:v>
      </x:c>
      <x:c r="E28" s="8" t="str">
        <x:v>Основная презентация, с. 11: «Первые каменные орудия», Homo habilis, 2,5 млн; детская, с. 10: «Хомо хабилис сделал первые каменные ножи».</x:v>
      </x:c>
      <x:c r="F28" s="8" t="str">
        <x:v>Ломекви 3 содержит орудия около 3,3 млн лет — старше известных ранних Homo.</x:v>
      </x:c>
      <x:c r="G28" s="8" t="str">
        <x:v>Прямое устаревшее утверждение о первенстве вида; сильнее, чем неоднозначная привязка в карте признаков.</x:v>
      </x:c>
      <x:c r="H28" s="8" t="str">
        <x:v>«Каменные орудия существовали до Homo habilis. Ранние Homo развивали каменные технологии». На основной шкале добавить Ломекви и не приписывать изготовителя без оговорки.</x:v>
      </x:c>
      <x:c r="I28" s="22" t="e">
        <x:f>HYPERLINK("#'Источники'!A28","S23")</x:f>
        <x:v>HYPERLINK is not implemented. linkLocation=#'Источники'!A28, friendlyName=S23</x:v>
      </x:c>
      <x:c r="J28" s="8" t="str">
        <x:v>public/assets/materials/path-from-cell-to-human.pdf, с. 11
public/assets/materials/cell-to-human-kids.pdf, с. 10</x:v>
      </x:c>
      <x:c r="K28" s="8" t="str">
        <x:v>A10</x:v>
      </x:c>
      <x:c r="L28" s="21" t="str">
        <x:v>К рассмотрению</x:v>
      </x:c>
      <x:c r="M28" s="8" t="str">
        <x:v>Антропогенез.РУ</x:v>
      </x:c>
    </x:row>
    <x:row r="29" ht="58.5" customHeight="1">
      <x:c r="A29" s="18" t="str">
        <x:v>A24</x:v>
      </x:c>
      <x:c r="B29" s="20" t="str">
        <x:v>P1</x:v>
      </x:c>
      <x:c r="C29" s="16" t="str">
        <x:v>Ошибка</x:v>
      </x:c>
      <x:c r="D29" s="16" t="str">
        <x:v>PDF: флоресские люди исчезли 17 тыс. лет назад</x:v>
      </x:c>
      <x:c r="E29" s="16" t="str">
        <x:v>Основная презентация, с. 17: «17 тыс. лет назад — Исчезновение флоресийцев».</x:v>
      </x:c>
      <x:c r="F29" s="16" t="str">
        <x:v>В разборе 2016 года пересмотрены прежние даты: кости 100–60 тыс. лет, орудия в слоях 190–50 тыс. лет.</x:v>
      </x:c>
      <x:c r="G29" s="16" t="str">
        <x:v>Слайд воспроизводит отменённую интерпретацию поздних дат. Последняя находка сама по себе не устанавливает точный момент вымирания.</x:v>
      </x:c>
      <x:c r="H29" s="16" t="str">
        <x:v>«Поздние свидетельства Homo floresiensis относятся примерно к 60–50 тыс. лет назад; точное время исчезновения неизвестно». Убрать 17 тыс. как принятую дату.</x:v>
      </x:c>
      <x:c r="I29" s="23" t="e">
        <x:f>HYPERLINK("#'Источники'!A25","S20; S10")</x:f>
        <x:v>HYPERLINK is not implemented. linkLocation=#'Источники'!A25, friendlyName=S20; S10</x:v>
      </x:c>
      <x:c r="J29" s="16" t="str">
        <x:v>public/assets/materials/path-from-cell-to-human.pdf, с. 17</x:v>
      </x:c>
      <x:c r="K29" s="16" t="str">
        <x:v>A22</x:v>
      </x:c>
      <x:c r="L29" s="21" t="str">
        <x:v>К рассмотрению</x:v>
      </x:c>
      <x:c r="M29" s="16" t="str">
        <x:v>Антропогенез.РУ</x:v>
      </x:c>
    </x:row>
    <x:row r="30" ht="58.5" customHeight="1">
      <x:c r="A30" s="17" t="str">
        <x:v>A25</x:v>
      </x:c>
      <x:c r="B30" s="19" t="str">
        <x:v>P1</x:v>
      </x:c>
      <x:c r="C30" s="8" t="str">
        <x:v>Ошибка</x:v>
      </x:c>
      <x:c r="D30" s="8" t="str">
        <x:v>PDF: охотничьи рисунки 130 тыс. лет назад</x:v>
      </x:c>
      <x:c r="E30" s="8" t="str">
        <x:v>С. 15: «130 тыс. лет назад … рисуют охотничьи сцены. Появляется язык, похоронные обряды».</x:v>
      </x:c>
      <x:c r="F30" s="8" t="str">
        <x:v>В обзоре 2019 года описана сцена с Сулавеси с оценкой около 44 тыс. лет; обсуждение речи не даёт установленной даты её возникновения.</x:v>
      </x:c>
      <x:c r="G30" s="8" t="str">
        <x:v>Разные свидетельства искусства, украшений, погребений и речи объединены одной недоказанной датой.</x:v>
      </x:c>
      <x:c r="H30" s="8" t="str">
        <x:v>Разбить слайд на датированные примеры разных явлений. Для конкретного рисунка указать памятник и оценку из выбранной публикации; не называть 44 тыс. неизменным мировым рекордом. Для языка оставить неопределённую дату.</x:v>
      </x:c>
      <x:c r="I30" s="22" t="e">
        <x:f>HYPERLINK("#'Источники'!A9","S04; S18")</x:f>
        <x:v>HYPERLINK is not implemented. linkLocation=#'Источники'!A9, friendlyName=S04; S18</x:v>
      </x:c>
      <x:c r="J30" s="8" t="str">
        <x:v>public/assets/materials/path-from-cell-to-human.pdf, с. 15</x:v>
      </x:c>
      <x:c r="K30" s="8" t="str">
        <x:v>A13, A14</x:v>
      </x:c>
      <x:c r="L30" s="21" t="str">
        <x:v>К рассмотрению</x:v>
      </x:c>
      <x:c r="M30" s="8" t="str">
        <x:v>Антропогенез.РУ</x:v>
      </x:c>
    </x:row>
    <x:row r="31" ht="58.5" customHeight="1">
      <x:c r="A31" s="18" t="str">
        <x:v>A26</x:v>
      </x:c>
      <x:c r="B31" s="20" t="str">
        <x:v>P1</x:v>
      </x:c>
      <x:c r="C31" s="16" t="str">
        <x:v>Ошибка / обобщение</x:v>
      </x:c>
      <x:c r="D31" s="16" t="str">
        <x:v>PDF: полностью современный комплекс уже 300 тыс. лет назад</x:v>
      </x:c>
      <x:c r="E31" s="16" t="str">
        <x:v>С. 14 основной: высокий лоб, грацильная анатомия, символизм и украшения при 300 тыс.; детская с. 11 соединяет эту дату с рисованием на стенах.</x:v>
      </x:c>
      <x:c r="F31" s="16" t="str">
        <x:v>Обзор Джебель-Ирхуда подчёркивает мозаичность лица и мозгового отдела; африканский обзор различает формирование анатомии и культурные изменения.</x:v>
      </x:c>
      <x:c r="G31" s="16" t="str">
        <x:v>Становление вида превращено в одномоментное появление сегодняшней анатомии и поздних культурных практик.</x:v>
      </x:c>
      <x:c r="H31" s="16" t="str">
        <x:v>«Около 300 тыс. лет назад в Африке жили ранние представители/близкие формы нашей линии. Современные черты складывались постепенно». Украшения и живопись вынести в отдельные датированные эпизоды.</x:v>
      </x:c>
      <x:c r="I31" s="23" t="e">
        <x:f>HYPERLINK("#'Источники'!A26","S21; S22")</x:f>
        <x:v>HYPERLINK is not implemented. linkLocation=#'Источники'!A26, friendlyName=S21; S22</x:v>
      </x:c>
      <x:c r="J31" s="16" t="str">
        <x:v>public/assets/materials/path-from-cell-to-human.pdf, с. 14
public/assets/materials/cell-to-human-kids.pdf, с. 11</x:v>
      </x:c>
      <x:c r="K31" s="16" t="str">
        <x:v>D01, A14, A25</x:v>
      </x:c>
      <x:c r="L31" s="21" t="str">
        <x:v>К рассмотрению</x:v>
      </x:c>
      <x:c r="M31" s="16" t="str">
        <x:v>Антропогенез.РУ</x:v>
      </x:c>
    </x:row>
    <x:row r="32" ht="73.5" customHeight="1">
      <x:c r="A32" s="17" t="str">
        <x:v>A27</x:v>
      </x:c>
      <x:c r="B32" s="19" t="str">
        <x:v>P1</x:v>
      </x:c>
      <x:c r="C32" s="8" t="str">
        <x:v>Ошибка / доказательство</x:v>
      </x:c>
      <x:c r="D32" s="8" t="str">
        <x:v>PDF: реконструированный таз сахелантропа выдан за свидетельство</x:v>
      </x:c>
      <x:c r="E32" s="8" t="str">
        <x:v>Научная презентация, с. 11: таз с подписью Sahelanthropus и «Evidence of habitual bipedalism». Детская с. 9 связывает его прямохождение с переноской инструментов.</x:v>
      </x:c>
      <x:c r="F32" s="8" t="str">
        <x:v>В описании ранней двуногости источник использует разные находки: сахелантропа характеризует основание черепа, а таз представлен ардипитеком.</x:v>
      </x:c>
      <x:c r="G32" s="8" t="str">
        <x:v>Таз другого эволюционного этапа выглядит как реально известный таз сахелантропа; поведенческие детали дополнительно не обоснованы.</x:v>
      </x:c>
      <x:c r="H32" s="8" t="str">
        <x:v>Заменить таз на документированное свидетельство и точное название находки. Иллюстрацию реконструкции явно подписать; убрать утверждения о сахелантроповых инструментах и впервые возникшей социальности.</x:v>
      </x:c>
      <x:c r="I32" s="22" t="e">
        <x:f>HYPERLINK("#'Источники'!A30","S25; S33")</x:f>
        <x:v>HYPERLINK is not implemented. linkLocation=#'Источники'!A30, friendlyName=S25; S33</x:v>
      </x:c>
      <x:c r="J32" s="8" t="str">
        <x:v>public/assets/materials/homo-luca-sapiens.pdf, с. 11
public/assets/materials/cell-to-human-kids.pdf, с. 9
public/assets/materials/path-from-cell-to-human.pdf, с. 10</x:v>
      </x:c>
      <x:c r="K32" s="8" t="str">
        <x:v>A09</x:v>
      </x:c>
      <x:c r="L32" s="21" t="str">
        <x:v>К рассмотрению</x:v>
      </x:c>
      <x:c r="M32" s="8" t="str">
        <x:v>Антропогенез.РУ</x:v>
      </x:c>
    </x:row>
    <x:row r="33" ht="58.5" customHeight="1">
      <x:c r="A33" s="18" t="str">
        <x:v>A28</x:v>
      </x:c>
      <x:c r="B33" s="20" t="str">
        <x:v>P1</x:v>
      </x:c>
      <x:c r="C33" s="16" t="str">
        <x:v>Ошибка / обобщение</x:v>
      </x:c>
      <x:c r="D33" s="16" t="str">
        <x:v>Детский PDF: тиктаалик — первая рыба на суше и всеобщая прабабушка</x:v>
      </x:c>
      <x:c r="E33" s="16" t="str">
        <x:v>С. 5: «Первая выбралась из воды благодаря “рукам-лёгким”»; «Стала прабабушкой всех зверей…».</x:v>
      </x:c>
      <x:c r="F33" s="16" t="str">
        <x:v>Рецензия на «Предшественников рыб» описывает тиктаалика как одну из нескольких переходных форм между лопастепёрыми и амфибиями.</x:v>
      </x:c>
      <x:c r="G33" s="16" t="str">
        <x:v>Переходная форма превращена в установленного прямого предка и единственного первопроходца; плавники и дыхание смешаны в несуществующий орган.</x:v>
      </x:c>
      <x:c r="H33" s="16" t="str">
        <x:v>«Тиктаалик показывает, как плавники могли становиться опорой. Он — один из родственников линии первых четвероногих; учёные не считают его доказанной прабабушкой всех наземных зверей».</x:v>
      </x:c>
      <x:c r="I33" s="23" t="e">
        <x:f>HYPERLINK("#'Источники'!A6","S01")</x:f>
        <x:v>HYPERLINK is not implemented. linkLocation=#'Источники'!A6, friendlyName=S01</x:v>
      </x:c>
      <x:c r="J33" s="16" t="str">
        <x:v>public/assets/materials/cell-to-human-kids.pdf, с. 5</x:v>
      </x:c>
      <x:c r="K33" s="16" t="str">
        <x:v>A01</x:v>
      </x:c>
      <x:c r="L33" s="21" t="str">
        <x:v>К рассмотрению</x:v>
      </x:c>
      <x:c r="M33" s="16" t="str">
        <x:v>Антропогенез.РУ</x:v>
      </x:c>
    </x:row>
    <x:row r="34" ht="58.5" customHeight="1">
      <x:c r="A34" s="17" t="str">
        <x:v>A29</x:v>
      </x:c>
      <x:c r="B34" s="19" t="str">
        <x:v>P1</x:v>
      </x:c>
      <x:c r="C34" s="8" t="str">
        <x:v>Ошибка</x:v>
      </x:c>
      <x:c r="D34" s="8" t="str">
        <x:v>Научный PDF: одинаковая архаичная примесь у всех sapiens</x:v>
      </x:c>
      <x:c r="E34" s="8" t="str">
        <x:v>С. 18: «Современный Homo sapiens несёт 2–4% неандертальских и 0.2% денисовских последовательностей».</x:v>
      </x:c>
      <x:c r="F34" s="8" t="str">
        <x:v>Источник описывает различия денисовского наследия между популяциями, включая значительно большую долю у ряда жителей Океании.</x:v>
      </x:c>
      <x:c r="G34" s="8" t="str">
        <x:v>Процент представлен свойством всего вида; не указаны популяция, метод и интервал оценки.</x:v>
      </x:c>
      <x:c r="H34" s="8" t="str">
        <x:v>«Доля архаичного наследия различается между популяциями и людьми». Числа давать только вместе с исследованной популяцией, методикой и конкретной публикацией.</x:v>
      </x:c>
      <x:c r="I34" s="22" t="e">
        <x:f>HYPERLINK("#'Источники'!A43","S38")</x:f>
        <x:v>HYPERLINK is not implemented. linkLocation=#'Источники'!A43, friendlyName=S38</x:v>
      </x:c>
      <x:c r="J34" s="8" t="str">
        <x:v>public/assets/materials/homo-luca-sapiens.pdf, с. 18</x:v>
      </x:c>
      <x:c r="K34" s="8" t="str">
        <x:v>A19, V03</x:v>
      </x:c>
      <x:c r="L34" s="21" t="str">
        <x:v>К рассмотрению</x:v>
      </x:c>
      <x:c r="M34" s="8" t="str">
        <x:v>Антропогенез.РУ</x:v>
      </x:c>
    </x:row>
    <x:row r="35" ht="97.5" customHeight="1">
      <x:c r="A35" s="18" t="str">
        <x:v>A30</x:v>
      </x:c>
      <x:c r="B35" s="20" t="str">
        <x:v>P1</x:v>
      </x:c>
      <x:c r="C35" s="16" t="str">
        <x:v>Внутренняя несогласованность</x:v>
      </x:c>
      <x:c r="D35" s="16" t="str">
        <x:v>Постер дерева: перепутан порядок крупных узлов</x:v>
      </x:c>
      <x:c r="E35" s="16" t="str">
        <x:v>На центральном стволе снизу вверх: первые четвероногие → эутерии → млекопитающие → цинодонты → терапсиды → амниоты. Эукариоты стоят напротив кембрия.</x:v>
      </x:c>
      <x:c r="F35" s="16" t="str">
        <x:v>Основной атлас задаёт другой порядок: четвероногие → амниоты → синапсиды → терапсиды → цинодонты → млекопитающие → эутерии.</x:v>
      </x:c>
      <x:c r="G35" s="16" t="str">
        <x:v>Постер противоречит собственным данным портала; геологическая колонка создаёт ложные соответствия высот и возраста. Это дополнительная внутренняя проверка, не отдельная датировка из Антропогенеза.</x:v>
      </x:c>
      <x:c r="H35" s="16" t="str">
        <x:v>Перерисовать структуру по явным связям данных. Если вертикаль не временная, убрать или отделить колонку периодов и сказать об этом прямо; если временная — согласовать все высоты с датами.</x:v>
      </x:c>
      <x:c r="I35" s="16" t="str">
        <x:v>Внутренняя сверка</x:v>
      </x:c>
      <x:c r="J35" s="16" t="str">
        <x:v>public/assets/images/cladogram/tree-of-life-poster.png
src/data/treeOfLifePoster.ts:1
export const TREE_OF_LIFE_POSTER
src/data/lineage.ts:311
id: "amniotes"</x:v>
      </x:c>
      <x:c r="K35" s="16" t="str">
        <x:v>A01, A03</x:v>
      </x:c>
      <x:c r="L35" s="21" t="str">
        <x:v>К рассмотрению</x:v>
      </x:c>
      <x:c r="M35" s="16" t="str">
        <x:v>Внутренняя сверка портала</x:v>
      </x:c>
    </x:row>
    <x:row r="36" ht="58.5" customHeight="1">
      <x:c r="A36" s="17" t="str">
        <x:v>A31</x:v>
      </x:c>
      <x:c r="B36" s="19" t="str">
        <x:v>P1</x:v>
      </x:c>
      <x:c r="C36" s="8" t="str">
        <x:v>Ошибка</x:v>
      </x:c>
      <x:c r="D36" s="8" t="str">
        <x:v>PDF вымираний: шестое вымирание отнесено к мезозою</x:v>
      </x:c>
      <x:c r="E36" s="8" t="str">
        <x:v>С. 8 озаглавлена «Шестое массовое вымирание» среди древних кризисов; с. 12 — «Шестое массовое вымирание (мел-палеогеновое)».</x:v>
      </x:c>
      <x:c r="F36" s="8" t="str">
        <x:v>В обсуждении форума противопоставлены нынешний кризис и пять прошлых массовых вымираний.</x:v>
      </x:c>
      <x:c r="G36" s="8" t="str">
        <x:v>Название шестого кризиса перепутано с древними событиями; слайд 14 того же файла уже относит шестое к человеческому воздействию.</x:v>
      </x:c>
      <x:c r="H36" s="8" t="str">
        <x:v>С. 12: «Мел-палеогеновое вымирание, 66 млн лет назад». Для с. 8 сначала определить описываемый кризис; «шестое» использовать лишь для современного обсуждаемого кризиса.</x:v>
      </x:c>
      <x:c r="I36" s="22" t="e">
        <x:f>HYPERLINK("#'Источники'!A16","S11")</x:f>
        <x:v>HYPERLINK is not implemented. linkLocation=#'Источники'!A16, friendlyName=S11</x:v>
      </x:c>
      <x:c r="J36" s="8" t="str">
        <x:v>public/assets/materials/six-planet-apocalypses.pdf, с. 8
public/assets/materials/six-planet-apocalypses.pdf, с. 12</x:v>
      </x:c>
      <x:c r="K36" s="8" t="str">
        <x:v>V06</x:v>
      </x:c>
      <x:c r="L36" s="21" t="str">
        <x:v>К рассмотрению</x:v>
      </x:c>
      <x:c r="M36" s="8" t="str">
        <x:v>Антропогенез.РУ + внутренняя сверка</x:v>
      </x:c>
    </x:row>
    <x:row r="37" ht="61.5" customHeight="1">
      <x:c r="A37" s="18" t="str">
        <x:v>A32</x:v>
      </x:c>
      <x:c r="B37" s="20" t="str">
        <x:v>P1</x:v>
      </x:c>
      <x:c r="C37" s="16" t="str">
        <x:v>Ошибка</x:v>
      </x:c>
      <x:c r="D37" s="16" t="str">
        <x:v>PDF вымираний: исчезновение архозавров освободило место динозаврам</x:v>
      </x:c>
      <x:c r="E37" s="16" t="str">
        <x:v>С. 8: «Исчезновение архозавров» → «Освобождение ниши для динозавров», «Конец эпохи архозавров».</x:v>
      </x:c>
      <x:c r="F37" s="16" t="str">
        <x:v>В материале о динозаврах птицы названы живыми динозаврами. На основной странице портала динозавры и крокодилы сами входят в архозавров.</x:v>
      </x:c>
      <x:c r="G37" s="16" t="str">
        <x:v>Противопоставлены содержащая группа и её часть; архозавры не исчезли целиком.</x:v>
      </x:c>
      <x:c r="H37" s="16" t="str">
        <x:v>Назвать конкретные вымершие группы конкурентов и конкретное событие. Убрать тезис об исчезновении архозавров; сохранить принадлежность динозавров, птиц и крокодилов к этой группе.</x:v>
      </x:c>
      <x:c r="I37" s="23" t="e">
        <x:f>HYPERLINK("#'Источники'!A7","S02")</x:f>
        <x:v>HYPERLINK is not implemented. linkLocation=#'Источники'!A7, friendlyName=S02</x:v>
      </x:c>
      <x:c r="J37" s="16" t="str">
        <x:v>public/assets/materials/six-planet-apocalypses.pdf, с. 8
src/data/dinosaurLineage.ts:89
id: "archosaurs"</x:v>
      </x:c>
      <x:c r="K37" s="16" t="str">
        <x:v>A31, D08</x:v>
      </x:c>
      <x:c r="L37" s="21" t="str">
        <x:v>К рассмотрению</x:v>
      </x:c>
      <x:c r="M37" s="16" t="str">
        <x:v>Антропогенез.РУ + внутренняя сверка</x:v>
      </x:c>
    </x:row>
    <x:row r="38" ht="61.5" customHeight="1">
      <x:c r="A38" s="17" t="str">
        <x:v>A33</x:v>
      </x:c>
      <x:c r="B38" s="19" t="str">
        <x:v>P2</x:v>
      </x:c>
      <x:c r="C38" s="8" t="str">
        <x:v>Уточнение</x:v>
      </x:c>
      <x:c r="D38" s="8" t="str">
        <x:v>PDF: освоение огня сведено к одной дате</x:v>
      </x:c>
      <x:c r="E38" s="8" t="str">
        <x:v>Основной PDF, с. 12: «800 тыс. лет назад: Освоение огня и приготовление пищи»; в карточке erectus 1,9 млн — «вероятное использование огня».</x:v>
      </x:c>
      <x:c r="F38" s="8" t="str">
        <x:v>В главе об архантропах различаются древние возможные следы огня и более поздние убедительные свидетельства его использования.</x:v>
      </x:c>
      <x:c r="G38" s="8" t="str">
        <x:v>Находка обожжённого материала, контроль огня, регулярное приготовление и самостоятельное добывание огня — разные события.</x:v>
      </x:c>
      <x:c r="H38" s="8" t="str">
        <x:v>Указать датированный пример и вид свидетельства; отдельно оговорить ранние спорные случаи. Не связывать весь набор с датой появления erectus или единственным порогом 800 тыс.</x:v>
      </x:c>
      <x:c r="I38" s="22" t="e">
        <x:f>HYPERLINK("#'Источники'!A29","S24")</x:f>
        <x:v>HYPERLINK is not implemented. linkLocation=#'Источники'!A29, friendlyName=S24</x:v>
      </x:c>
      <x:c r="J38" s="8" t="str">
        <x:v>public/assets/materials/path-from-cell-to-human.pdf, с. 12
src/data/lineage.ts:604
id: "erectus"</x:v>
      </x:c>
      <x:c r="K38" s="8" t="str">
        <x:v>D03</x:v>
      </x:c>
      <x:c r="L38" s="21" t="str">
        <x:v>К рассмотрению</x:v>
      </x:c>
      <x:c r="M38" s="8" t="str">
        <x:v>Антропогенез.РУ</x:v>
      </x:c>
    </x:row>
  </x:sheetData>
  <x:conditionalFormatting sqref="B6:B38">
    <x:cfRule type="expression" dxfId="0" priority="1">
      <x:formula>B6="P1"</x:formula>
    </x:cfRule>
    <x:cfRule type="expression" dxfId="1" priority="2">
      <x:formula>B6="P2"</x:formula>
    </x:cfRule>
  </x:conditionalFormatting>
  <x:conditionalFormatting sqref="L6:L38">
    <x:cfRule type="expression" dxfId="2" priority="3">
      <x:formula>L6="Внесено"</x:formula>
    </x:cfRule>
  </x:conditionalFormatting>
  <x:dataValidations count="1">
    <x:dataValidation type="list" sqref="L6:L38">
      <x:formula1>"К рассмотрению,Не заменять автоматически,Нужен первоисточник,Принято,В работе,Внесено,Отклонено"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0e527fc43449f"/>
  </x:tableParts>
</x:worksheet>
</file>

<file path=xl/worksheets/sheet2.xml><?xml version="1.0" encoding="utf-8"?>
<x:worksheet xmlns:x="http://schemas.openxmlformats.org/spreadsheetml/2006/main">
  <x:sheetPr>
    <x:tabColor rgb="FF657E8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5" hidden="0" customWidth="1"/>
    <x:col min="2" max="2" width="9.5" hidden="0" customWidth="1"/>
    <x:col min="3" max="3" width="18.75" hidden="0" customWidth="1"/>
    <x:col min="4" max="4" width="33.75" hidden="0" customWidth="1"/>
    <x:col min="5" max="5" width="50" hidden="0" customWidth="1"/>
    <x:col min="6" max="6" width="46.25" hidden="0" customWidth="1"/>
    <x:col min="7" max="7" width="45" hidden="0" customWidth="1"/>
    <x:col min="8" max="8" width="57.5" hidden="0" customWidth="1"/>
    <x:col min="9" max="9" width="16.8799991607666" hidden="0" customWidth="1"/>
    <x:col min="10" max="10" width="51.25" hidden="0" customWidth="1"/>
    <x:col min="11" max="11" width="15" hidden="0" customWidth="1"/>
    <x:col min="12" max="12" width="23.75" hidden="0" customWidth="1"/>
    <x:col min="13" max="13" width="25.62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Решения · Антропогенез.РУ × портал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5" t="str">
        <x:v>Различия трактовок и версий источника. Эти строки нельзя выполнять как автоматическую замену даты или классификации.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6" customHeight="1">
      <x:c r="A5" s="13" t="str">
        <x:v>ID</x:v>
      </x:c>
      <x:c r="B5" s="14" t="str">
        <x:v>Приоритет</x:v>
      </x:c>
      <x:c r="C5" s="14" t="str">
        <x:v>Тип</x:v>
      </x:c>
      <x:c r="D5" s="14" t="str">
        <x:v>Тема</x:v>
      </x:c>
      <x:c r="E5" s="14" t="str">
        <x:v>Портал: сейчас</x:v>
      </x:c>
      <x:c r="F5" s="14" t="str">
        <x:v>Источник: содержание</x:v>
      </x:c>
      <x:c r="G5" s="14" t="str">
        <x:v>Вывод</x:v>
      </x:c>
      <x:c r="H5" s="14" t="str">
        <x:v>Предлагаемое изменение</x:v>
      </x:c>
      <x:c r="I5" s="14" t="str">
        <x:v>Источники</x:v>
      </x:c>
      <x:c r="J5" s="14" t="str">
        <x:v>Точное место</x:v>
      </x:c>
      <x:c r="K5" s="14" t="str">
        <x:v>Связи</x:v>
      </x:c>
      <x:c r="L5" s="14" t="str">
        <x:v>Статус</x:v>
      </x:c>
      <x:c r="M5" s="15" t="str">
        <x:v>Основание</x:v>
      </x:c>
    </x:row>
    <x:row r="6" ht="73.5" customHeight="1">
      <x:c r="A6" s="17" t="str">
        <x:v>D01</x:v>
      </x:c>
      <x:c r="B6" s="19" t="str">
        <x:v>P2</x:v>
      </x:c>
      <x:c r="C6" s="8" t="str">
        <x:v>Трактовки источников</x:v>
      </x:c>
      <x:c r="D6" s="8" t="str">
        <x:v>Возраст и определение Homo sapiens</x:v>
      </x:c>
      <x:c r="E6" s="8" t="str">
        <x:v>Портал: 300 тыс. лет; Jebel Irhoud около 315 тыс.</x:v>
      </x:c>
      <x:c r="F6" s="8" t="str">
        <x:v>Старый каталог даёт Homo sapiens sapiens от 100 тыс.; статья 2017 разбирает возраст Ирхуда 315 ± 34 тыс. и спорит с однозначным отнесением к sapiens.</x:v>
      </x:c>
      <x:c r="G6" s="8" t="str">
        <x:v>На одном ресурсе различаются дата находки, определение вида и авторская интерпретация.</x:v>
      </x:c>
      <x:c r="H6" s="8" t="str">
        <x:v>Сохранить ~300 тыс. как возраст ранней линии при принятой широкой классификации; добавить мозаичность и спор об определении. Не заменять на 100 тыс. по старому каталогу.</x:v>
      </x:c>
      <x:c r="I6" s="22" t="e">
        <x:f>HYPERLINK("#'Источники'!A14","S09; S21")</x:f>
        <x:v>HYPERLINK is not implemented. linkLocation=#'Источники'!A14, friendlyName=S09; S21</x:v>
      </x:c>
      <x:c r="J6" s="8" t="str">
        <x:v>src/data/lineage.ts:669
id: "sapiens"
src/data/humanOrigins.ts:32
id: "jebel-irhoud"</x:v>
      </x:c>
      <x:c r="K6" s="8" t="str">
        <x:v>A26</x:v>
      </x:c>
      <x:c r="L6" s="21" t="str">
        <x:v>Не заменять автоматически</x:v>
      </x:c>
      <x:c r="M6" s="8" t="str">
        <x:v>Антропогенез.РУ</x:v>
      </x:c>
    </x:row>
    <x:row r="7" ht="58.5" customHeight="1">
      <x:c r="A7" s="18" t="str">
        <x:v>D02</x:v>
      </x:c>
      <x:c r="B7" s="20" t="str">
        <x:v>P2</x:v>
      </x:c>
      <x:c r="C7" s="16" t="str">
        <x:v>Трактовки источников</x:v>
      </x:c>
      <x:c r="D7" s="16" t="str">
        <x:v>Омо: 233 тыс. против старых 195 тыс.</x:v>
      </x:c>
      <x:c r="E7" s="16" t="str">
        <x:v>Портал корректно говорит «233 тыс. или старше (нижняя оценка)».</x:v>
      </x:c>
      <x:c r="F7" s="16" t="str">
        <x:v>В старой главе Антропогенеза встречается 195 тыс.; работа Vidal et al. 2022 даёт минимальный возраст 233 ± 22 тыс.</x:v>
      </x:c>
      <x:c r="G7" s="16" t="str">
        <x:v>Это пересмотр датировки; здесь проверен также первоисточник, уже указанный на портале.</x:v>
      </x:c>
      <x:c r="H7" s="16" t="str">
        <x:v>Сохранить нижнюю оценку 233 тыс.; при детализации добавить ±22 тыс. и связь с перекрывающим туфом. Не откатывать к 195 тыс.</x:v>
      </x:c>
      <x:c r="I7" s="23" t="e">
        <x:f>HYPERLINK("#'Источники'!A32","S27; S42")</x:f>
        <x:v>HYPERLINK is not implemented. linkLocation=#'Источники'!A32, friendlyName=S27; S42</x:v>
      </x:c>
      <x:c r="J7" s="16" t="str">
        <x:v>src/data/humanOrigins.ts:48
id: "omo-kibish"</x:v>
      </x:c>
      <x:c r="K7" s="16" t="str"/>
      <x:c r="L7" s="21" t="str">
        <x:v>Не заменять автоматически</x:v>
      </x:c>
      <x:c r="M7" s="16" t="str">
        <x:v>Антропогенез.РУ</x:v>
      </x:c>
    </x:row>
    <x:row r="8" ht="58.5" customHeight="1">
      <x:c r="A8" s="17" t="str">
        <x:v>D03</x:v>
      </x:c>
      <x:c r="B8" s="19" t="str">
        <x:v>P2</x:v>
      </x:c>
      <x:c r="C8" s="8" t="str">
        <x:v>Трактовки источников</x:v>
      </x:c>
      <x:c r="D8" s="8" t="str">
        <x:v>Homo erectus: 1,9 млн против узкой классификации</x:v>
      </x:c>
      <x:c r="E8" s="8" t="str">
        <x:v>Портал: erectus 1,9 млн; иллюстрация/источники включают африканские формы.</x:v>
      </x:c>
      <x:c r="F8" s="8" t="str">
        <x:v>В каталоге ergaster отделён от erectus; глава прямо обсуждает широкое и узкое употребление названия erectus.</x:v>
      </x:c>
      <x:c r="G8" s="8" t="str">
        <x:v>Нельзя сравнивать начало широкого комплекса с датами только его азиатской части.</x:v>
      </x:c>
      <x:c r="H8" s="8" t="str">
        <x:v>Явно выбрать «Homo erectus в широком смысле, включая ранние африканские формы» либо разделить ergaster и erectus. Затем согласовать даты и иллюстрации.</x:v>
      </x:c>
      <x:c r="I8" s="22" t="e">
        <x:f>HYPERLINK("#'Источники'!A42","S37; S09")</x:f>
        <x:v>HYPERLINK is not implemented. linkLocation=#'Источники'!A42, friendlyName=S37; S09</x:v>
      </x:c>
      <x:c r="J8" s="8" t="str">
        <x:v>src/data/lineage.ts:604
id: "erectus"</x:v>
      </x:c>
      <x:c r="K8" s="8" t="str">
        <x:v>A03, A33</x:v>
      </x:c>
      <x:c r="L8" s="21" t="str">
        <x:v>Не заменять автоматически</x:v>
      </x:c>
      <x:c r="M8" s="8" t="str">
        <x:v>Антропогенез.РУ</x:v>
      </x:c>
    </x:row>
    <x:row r="9" ht="58.5" customHeight="1">
      <x:c r="A9" s="18" t="str">
        <x:v>D04</x:v>
      </x:c>
      <x:c r="B9" s="20" t="str">
        <x:v>P2</x:v>
      </x:c>
      <x:c r="C9" s="16" t="str">
        <x:v>Трактовки источников</x:v>
      </x:c>
      <x:c r="D9" s="16" t="str">
        <x:v>Гейдельбергский человек: 700 против 800 тыс.</x:v>
      </x:c>
      <x:c r="E9" s="16" t="str">
        <x:v>Портал: 700 тыс.; положение в дереве уже названо спорным.</x:v>
      </x:c>
      <x:c r="F9" s="16" t="str">
        <x:v>Каталог даёт интервал 800–130 тыс.; глава подчёркивает неоднородность промежуточных форм.</x:v>
      </x:c>
      <x:c r="G9" s="16" t="str">
        <x:v>700 тыс. находится внутри интервала; это не доказанная ошибка числа, пока не сказано, что оно означает начало вида.</x:v>
      </x:c>
      <x:c r="H9" s="16" t="str">
        <x:v>Уточнить смысл даты и таксономическую концепцию, сохранить оговорку. Не превращать этого кандидата в доказанного предка всех поздних людей.</x:v>
      </x:c>
      <x:c r="I9" s="23" t="e">
        <x:f>HYPERLINK("#'Источники'!A14","S09; S39")</x:f>
        <x:v>HYPERLINK is not implemented. linkLocation=#'Источники'!A14, friendlyName=S09; S39</x:v>
      </x:c>
      <x:c r="J9" s="16" t="str">
        <x:v>src/data/lineage.ts:619
id: "heidelbergensis"</x:v>
      </x:c>
      <x:c r="K9" s="16" t="str">
        <x:v>A01, A03</x:v>
      </x:c>
      <x:c r="L9" s="21" t="str">
        <x:v>Не заменять автоматически</x:v>
      </x:c>
      <x:c r="M9" s="16" t="str">
        <x:v>Антропогенез.РУ</x:v>
      </x:c>
    </x:row>
    <x:row r="10" ht="58.5" customHeight="1">
      <x:c r="A10" s="17" t="str">
        <x:v>D05</x:v>
      </x:c>
      <x:c r="B10" s="19" t="str">
        <x:v>P2</x:v>
      </x:c>
      <x:c r="C10" s="8" t="str">
        <x:v>Трактовки источников</x:v>
      </x:c>
      <x:c r="D10" s="8" t="str">
        <x:v>Неандертальцы: 400 против 130 тыс.</x:v>
      </x:c>
      <x:c r="E10" s="8" t="str">
        <x:v>Портал: 400 тыс.; источник в старой таблице: 130–28 тыс.</x:v>
      </x:c>
      <x:c r="F10" s="8" t="str">
        <x:v>Материал о Сима-де-лос-Уэсос обсуждает 430-тысячелетнюю популяцию, близкую по ядерной ДНК к неандертальской линии.</x:v>
      </x:c>
      <x:c r="G10" s="8" t="str">
        <x:v>Классические неандертальцы и ранняя линия — разные объекты датирования; поздняя граница старой таблицы тоже требует отдельной актуализации.</x:v>
      </x:c>
      <x:c r="H10" s="8" t="str">
        <x:v>Подписать 400 тыс. как раннюю неандертальскую линию. Для классических форм и последних находок дать отдельные интервалы; не заменять автоматически 400 на 130.</x:v>
      </x:c>
      <x:c r="I10" s="22" t="e">
        <x:f>HYPERLINK("#'Источники'!A14","S09; S08")</x:f>
        <x:v>HYPERLINK is not implemented. linkLocation=#'Источники'!A14, friendlyName=S09; S08</x:v>
      </x:c>
      <x:c r="J10" s="8" t="str">
        <x:v>src/data/lineage.ts:634
id: "neanderthals"</x:v>
      </x:c>
      <x:c r="K10" s="8" t="str">
        <x:v>A03</x:v>
      </x:c>
      <x:c r="L10" s="21" t="str">
        <x:v>Не заменять автоматически</x:v>
      </x:c>
      <x:c r="M10" s="8" t="str">
        <x:v>Антропогенез.РУ</x:v>
      </x:c>
    </x:row>
    <x:row r="11" ht="73.5" customHeight="1">
      <x:c r="A11" s="18" t="str">
        <x:v>D06</x:v>
      </x:c>
      <x:c r="B11" s="20" t="str">
        <x:v>P2</x:v>
      </x:c>
      <x:c r="C11" s="16" t="str">
        <x:v>Трактовки источников</x:v>
      </x:c>
      <x:c r="D11" s="16" t="str">
        <x:v>Денисовцы: 300 тыс. не равно дате разделения</x:v>
      </x:c>
      <x:c r="E11" s="16" t="str">
        <x:v>Портал: 300 тыс.; общий предковый узел — heidelbergensis 700 тыс.</x:v>
      </x:c>
      <x:c r="F11" s="16" t="str">
        <x:v>В разборе ядерной ДНК Сима разделение неандертальской и денисовской линий помещено раньше 430 тыс. лет.</x:v>
      </x:c>
      <x:c r="G11" s="16" t="str">
        <x:v>Возраст представленных находок нельзя читать как время возникновения или расхождения генетической линии.</x:v>
      </x:c>
      <x:c r="H11" s="16" t="str">
        <x:v>Оставить 300 тыс. только с подписью о выбранном археологическом срезе. Генетическое разделение представить отдельным узлом с источником и диапазоном.</x:v>
      </x:c>
      <x:c r="I11" s="23" t="e">
        <x:f>HYPERLINK("#'Источники'!A13","S08")</x:f>
        <x:v>HYPERLINK is not implemented. linkLocation=#'Источники'!A13, friendlyName=S08</x:v>
      </x:c>
      <x:c r="J11" s="16" t="str">
        <x:v>src/data/lineage.ts:649
id: "denisovans"
src/lib/cladogram.ts:610
parentId: "heidelbergensis"</x:v>
      </x:c>
      <x:c r="K11" s="16" t="str">
        <x:v>A01, A03</x:v>
      </x:c>
      <x:c r="L11" s="21" t="str">
        <x:v>Не заменять автоматически</x:v>
      </x:c>
      <x:c r="M11" s="16" t="str">
        <x:v>Антропогенез.РУ</x:v>
      </x:c>
    </x:row>
    <x:row r="12" ht="58.5" customHeight="1">
      <x:c r="A12" s="17" t="str">
        <x:v>D07</x:v>
      </x:c>
      <x:c r="B12" s="19" t="str">
        <x:v>P2</x:v>
      </x:c>
      <x:c r="C12" s="8" t="str">
        <x:v>Трактовки источников</x:v>
      </x:c>
      <x:c r="D12" s="8" t="str">
        <x:v>Сходство ДНК человека и шимпанзе</x:v>
      </x:c>
      <x:c r="E12" s="8" t="str">
        <x:v>Портал: 98–99% для напрямую сопоставимых участков; отдельно описаны другие метрики.</x:v>
      </x:c>
      <x:c r="F12" s="8" t="str">
        <x:v>Старая глава приводит разные оценки сходства, в том числе 94% и более высокие; процент зависит от того, что именно сравнивают.</x:v>
      </x:c>
      <x:c r="G12" s="8" t="str">
        <x:v>Разные знаменатели не образуют одного противоречия. Оговорка портала полезна и должна сохраниться.</x:v>
      </x:c>
      <x:c r="H12" s="8" t="str">
        <x:v>Не заменять проценты без одинаковой метрики. Добавить формальное определение выравнивания, учёт вставок/делеций и источник конкретного числа.</x:v>
      </x:c>
      <x:c r="I12" s="22" t="e">
        <x:f>HYPERLINK("#'Источники'!A31","S26; S07")</x:f>
        <x:v>HYPERLINK is not implemented. linkLocation=#'Источники'!A31, friendlyName=S26; S07</x:v>
      </x:c>
      <x:c r="J12" s="8" t="str">
        <x:v>src/data/genetics.ts:58
export const GENOME_COMPARISONS</x:v>
      </x:c>
      <x:c r="K12" s="8" t="str"/>
      <x:c r="L12" s="21" t="str">
        <x:v>Не заменять автоматически</x:v>
      </x:c>
      <x:c r="M12" s="8" t="str">
        <x:v>Антропогенез.РУ</x:v>
      </x:c>
    </x:row>
    <x:row r="13" ht="58.5" customHeight="1">
      <x:c r="A13" s="18" t="str">
        <x:v>D08</x:v>
      </x:c>
      <x:c r="B13" s="20" t="str">
        <x:v>P2</x:v>
      </x:c>
      <x:c r="C13" s="16" t="str">
        <x:v>Трактовки источников</x:v>
      </x:c>
      <x:c r="D13" s="16" t="str">
        <x:v>Птицы и динозавры: ресурс содержит несовместимые ответы</x:v>
      </x:c>
      <x:c r="E13" s="16" t="str">
        <x:v>Портал: птицы — живые тероподные динозавры.</x:v>
      </x:c>
      <x:c r="F13" s="16" t="str">
        <x:v>В интервью 794 отрицается происхождение птиц от динозавров; в статье 1026 птицы прямо рассматриваются как живые динозавры.</x:v>
      </x:c>
      <x:c r="G13" s="16" t="str">
        <x:v>У выбранного сайта нет единого согласованного ответа на всех страницах. Нельзя молча выбрать устаревшую реплику и переписать целый раздел.</x:v>
      </x:c>
      <x:c r="H13" s="16" t="str">
        <x:v>Сохранить действующее объяснение портала, сослаться на соответствующий материал ресурса. Отметить конфликт интервью как редакционное расхождение источника.</x:v>
      </x:c>
      <x:c r="I13" s="23" t="e">
        <x:f>HYPERLINK("#'Источники'!A20","S15; S02")</x:f>
        <x:v>HYPERLINK is not implemented. linkLocation=#'Источники'!A20, friendlyName=S15; S02</x:v>
      </x:c>
      <x:c r="J13" s="16" t="str">
        <x:v>src/data/dinosaurLineage.ts:121
id: "theropods"</x:v>
      </x:c>
      <x:c r="K13" s="16" t="str">
        <x:v>A32</x:v>
      </x:c>
      <x:c r="L13" s="21" t="str">
        <x:v>Не заменять автоматически</x:v>
      </x:c>
      <x:c r="M13" s="16" t="str">
        <x:v>Антропогенез.РУ</x:v>
      </x:c>
    </x:row>
    <x:row r="14" ht="58.5" customHeight="1">
      <x:c r="A14" s="17" t="str">
        <x:v>D09</x:v>
      </x:c>
      <x:c r="B14" s="19" t="str">
        <x:v>P2</x:v>
      </x:c>
      <x:c r="C14" s="8" t="str">
        <x:v>Трактовки источников</x:v>
      </x:c>
      <x:c r="D14" s="8" t="str">
        <x:v>Причины мел-палеогенового вымирания</x:v>
      </x:c>
      <x:c r="E14" s="8" t="str">
        <x:v>Портал ставит в центр удар астероида и его климатические последствия.</x:v>
      </x:c>
      <x:c r="F14" s="8" t="str">
        <x:v>В интервью 1003 изложен сценарий перестройки материков, переноса микроэлементов и кризиса планктона.</x:v>
      </x:c>
      <x:c r="G14" s="8" t="str">
        <x:v>Это содержательное расхождение объяснений; найденный ответ сам по себе не доказывает, что изложение портала ошибочно.</x:v>
      </x:c>
      <x:c r="H14" s="8" t="str">
        <x:v>Не заменять астероидный сценарий этой репликой. Для строгого согласования с выбранным источником нужен отдельный разбор его материалов о K–Pg и первичных данных.</x:v>
      </x:c>
      <x:c r="I14" s="22" t="e">
        <x:f>HYPERLINK("#'Источники'!A18","S13")</x:f>
        <x:v>HYPERLINK is not implemented. linkLocation=#'Источники'!A18, friendlyName=S13</x:v>
      </x:c>
      <x:c r="J14" s="8" t="str">
        <x:v>src/data/extinctions.ts:262
id: "cretaceous-paleogene"</x:v>
      </x:c>
      <x:c r="K14" s="8" t="str"/>
      <x:c r="L14" s="21" t="str">
        <x:v>Не заменять автоматически</x:v>
      </x:c>
      <x:c r="M14" s="8" t="str">
        <x:v>Антропогенез.РУ</x:v>
      </x:c>
    </x:row>
  </x:sheetData>
  <x:conditionalFormatting sqref="B6:B14">
    <x:cfRule type="expression" dxfId="3" priority="1">
      <x:formula>B6="P1"</x:formula>
    </x:cfRule>
    <x:cfRule type="expression" dxfId="4" priority="2">
      <x:formula>B6="P2"</x:formula>
    </x:cfRule>
  </x:conditionalFormatting>
  <x:conditionalFormatting sqref="L6:L14">
    <x:cfRule type="expression" dxfId="5" priority="3">
      <x:formula>L6="Внесено"</x:formula>
    </x:cfRule>
  </x:conditionalFormatting>
  <x:dataValidations count="1">
    <x:dataValidation type="list" sqref="L6:L14">
      <x:formula1>"К рассмотрению,Не заменять автоматически,Нужен первоисточник,Принято,В работе,Внесено,Отклонено"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c2747199b14843"/>
  </x:tableParts>
</x:worksheet>
</file>

<file path=xl/worksheets/sheet3.xml><?xml version="1.0" encoding="utf-8"?>
<x:worksheet xmlns:x="http://schemas.openxmlformats.org/spreadsheetml/2006/main">
  <x:sheetPr>
    <x:tabColor rgb="FFB68A4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5" hidden="0" customWidth="1"/>
    <x:col min="2" max="2" width="9.5" hidden="0" customWidth="1"/>
    <x:col min="3" max="3" width="18.75" hidden="0" customWidth="1"/>
    <x:col min="4" max="4" width="33.75" hidden="0" customWidth="1"/>
    <x:col min="5" max="5" width="50" hidden="0" customWidth="1"/>
    <x:col min="6" max="6" width="46.25" hidden="0" customWidth="1"/>
    <x:col min="7" max="7" width="45" hidden="0" customWidth="1"/>
    <x:col min="8" max="8" width="57.5" hidden="0" customWidth="1"/>
    <x:col min="9" max="9" width="16.8799991607666" hidden="0" customWidth="1"/>
    <x:col min="10" max="10" width="51.25" hidden="0" customWidth="1"/>
    <x:col min="11" max="11" width="15" hidden="0" customWidth="1"/>
    <x:col min="12" max="12" width="23.75" hidden="0" customWidth="1"/>
    <x:col min="13" max="13" width="25.62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Допроверка · Антропогенез.РУ × портал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5" t="str">
        <x:v>6 блоков без достаточного подтверждения. Они не объявлены ложными и не входят в число установленных расхождений.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6" customHeight="1">
      <x:c r="A5" s="13" t="str">
        <x:v>ID</x:v>
      </x:c>
      <x:c r="B5" s="14" t="str">
        <x:v>Приоритет</x:v>
      </x:c>
      <x:c r="C5" s="14" t="str">
        <x:v>Тип</x:v>
      </x:c>
      <x:c r="D5" s="14" t="str">
        <x:v>Тема</x:v>
      </x:c>
      <x:c r="E5" s="14" t="str">
        <x:v>Портал: сейчас</x:v>
      </x:c>
      <x:c r="F5" s="14" t="str">
        <x:v>Источник: содержание</x:v>
      </x:c>
      <x:c r="G5" s="14" t="str">
        <x:v>Вывод</x:v>
      </x:c>
      <x:c r="H5" s="14" t="str">
        <x:v>Предлагаемое изменение</x:v>
      </x:c>
      <x:c r="I5" s="14" t="str">
        <x:v>Источники</x:v>
      </x:c>
      <x:c r="J5" s="14" t="str">
        <x:v>Точное место</x:v>
      </x:c>
      <x:c r="K5" s="14" t="str">
        <x:v>Связи</x:v>
      </x:c>
      <x:c r="L5" s="14" t="str">
        <x:v>Статус</x:v>
      </x:c>
      <x:c r="M5" s="15" t="str">
        <x:v>Основание</x:v>
      </x:c>
    </x:row>
    <x:row r="6" ht="73.5" customHeight="1">
      <x:c r="A6" s="17" t="str">
        <x:v>V01</x:v>
      </x:c>
      <x:c r="B6" s="19" t="str">
        <x:v>P2</x:v>
      </x:c>
      <x:c r="C6" s="8" t="str">
        <x:v>Требует проверки</x:v>
      </x:c>
      <x:c r="D6" s="8" t="str">
        <x:v>Научный PDF: молекулярные механизмы</x:v>
      </x:c>
      <x:c r="E6" s="8" t="str">
        <x:v>С. 5: enhancer CsB в интроне HoxD13 → shh, CRISPR; с. 6: вителлогенин → ApoB; с. 8: HLA-C/HLA-G 70 млн лет и β-casein → рост мозга.</x:v>
      </x:c>
      <x:c r="F6" s="8" t="str">
        <x:v>Прямого достаточного подтверждения в изученных материалах Антропогенеза не найдено; это не доказательство ложности.</x:v>
      </x:c>
      <x:c r="G6" s="8" t="str">
        <x:v>Очень конкретные генетические и экспериментальные утверждения без библиографии на слайдах. Термины и причинные стрелки требуют независимой проверки.</x:v>
      </x:c>
      <x:c r="H6" s="8" t="str">
        <x:v>Для каждого механизма найти исходную статью, организм эксперимента и границы вывода. До этого не считать научную презентацию проверенным справочником.</x:v>
      </x:c>
      <x:c r="I6" s="8" t="str">
        <x:v>Внутренняя сверка</x:v>
      </x:c>
      <x:c r="J6" s="8" t="str">
        <x:v>public/assets/materials/homo-luca-sapiens.pdf, с. 5
public/assets/materials/homo-luca-sapiens.pdf, с. 6
public/assets/materials/homo-luca-sapiens.pdf, с. 8</x:v>
      </x:c>
      <x:c r="K6" s="8" t="str"/>
      <x:c r="L6" s="21" t="str">
        <x:v>Нужен первоисточник</x:v>
      </x:c>
      <x:c r="M6" s="8" t="str">
        <x:v>Граница выполненной проверки</x:v>
      </x:c>
    </x:row>
    <x:row r="7" ht="58.5" customHeight="1">
      <x:c r="A7" s="18" t="str">
        <x:v>V02</x:v>
      </x:c>
      <x:c r="B7" s="20" t="str">
        <x:v>P2</x:v>
      </x:c>
      <x:c r="C7" s="16" t="str">
        <x:v>Требует проверки</x:v>
      </x:c>
      <x:c r="D7" s="16" t="str">
        <x:v>Научный PDF: гены и происхождение языка</x:v>
      </x:c>
      <x:c r="E7" s="16" t="str">
        <x:v>С. 9: SRGAP2C и рабочая память; с. 17: TBR1/CNTNAP2 обеспечивают рекурсивный синтаксис, FOXP2 sweep около 70 тыс. → расселение.</x:v>
      </x:c>
      <x:c r="F7" s="16" t="str">
        <x:v>Прямого достаточного подтверждения в изученных материалах Антропогенеза не найдено; это не доказательство ложности.</x:v>
      </x:c>
      <x:c r="G7" s="16" t="str">
        <x:v>Связи гена с нейробиологией, речью и историческим расселением поданы как доказанная последовательность. Экспертный материал о FOXP2 подчёркивает ограничения интерпретации.</x:v>
      </x:c>
      <x:c r="H7" s="16" t="str">
        <x:v>Проверить каждую причинную связь по первичной публикации; отделить ассоциации, модельные эксперименты и исторические гипотезы. Удалить точные даты без основания.</x:v>
      </x:c>
      <x:c r="I7" s="23" t="e">
        <x:f>HYPERLINK("#'Источники'!A21","S16")</x:f>
        <x:v>HYPERLINK is not implemented. linkLocation=#'Источники'!A21, friendlyName=S16</x:v>
      </x:c>
      <x:c r="J7" s="16" t="str">
        <x:v>public/assets/materials/homo-luca-sapiens.pdf, с. 9
public/assets/materials/homo-luca-sapiens.pdf, с. 17</x:v>
      </x:c>
      <x:c r="K7" s="16" t="str"/>
      <x:c r="L7" s="21" t="str">
        <x:v>Нужен первоисточник</x:v>
      </x:c>
      <x:c r="M7" s="16" t="str">
        <x:v>Граница выполненной проверки</x:v>
      </x:c>
    </x:row>
    <x:row r="8" ht="73.5" customHeight="1">
      <x:c r="A8" s="17" t="str">
        <x:v>V03</x:v>
      </x:c>
      <x:c r="B8" s="19" t="str">
        <x:v>P2</x:v>
      </x:c>
      <x:c r="C8" s="8" t="str">
        <x:v>Требует проверки</x:v>
      </x:c>
      <x:c r="D8" s="8" t="str">
        <x:v>Научный PDF: фенотипы, геномы и графики</x:v>
      </x:c>
      <x:c r="E8" s="8" t="str">
        <x:v>С. 13: δ15N костей Turkana, MSTN и эффективность бега; с. 15: Altai/Denisovan, SCN9A, TRPM8, RUNX2, DEFB127; с. 18: направленный отбор polygenic score IQ.</x:v>
      </x:c>
      <x:c r="F8" s="8" t="str">
        <x:v>Прямого достаточного подтверждения в изученных материалах Антропогенеза не найдено; это не доказательство ложности.</x:v>
      </x:c>
      <x:c r="G8" s="8" t="str">
        <x:v>Не указаны образцы, публикации, величины ошибок и происхождение графиков; название Altai неоднозначно без идентификатора генома.</x:v>
      </x:c>
      <x:c r="H8" s="8" t="str">
        <x:v>Заменить графики на воспроизводимые данные с источником либо подписать как концептуальные схемы. Проверить, какие выводы относятся к неандертальцам, какие к денисовцам.</x:v>
      </x:c>
      <x:c r="I8" s="8" t="str">
        <x:v>Внутренняя сверка</x:v>
      </x:c>
      <x:c r="J8" s="8" t="str">
        <x:v>public/assets/materials/homo-luca-sapiens.pdf, с. 13
public/assets/materials/homo-luca-sapiens.pdf, с. 15
public/assets/materials/homo-luca-sapiens.pdf, с. 18</x:v>
      </x:c>
      <x:c r="K8" s="8" t="str"/>
      <x:c r="L8" s="21" t="str">
        <x:v>Нужен первоисточник</x:v>
      </x:c>
      <x:c r="M8" s="8" t="str">
        <x:v>Граница выполненной проверки</x:v>
      </x:c>
    </x:row>
    <x:row r="9" ht="145.5" customHeight="1">
      <x:c r="A9" s="18" t="str">
        <x:v>V04</x:v>
      </x:c>
      <x:c r="B9" s="20" t="str">
        <x:v>P2</x:v>
      </x:c>
      <x:c r="C9" s="16" t="str">
        <x:v>Требует проверки</x:v>
      </x:c>
      <x:c r="D9" s="16" t="str">
        <x:v>PDF о поведении: слишком широкие биологические правила</x:v>
      </x:c>
      <x:c r="E9" s="16" t="str">
        <x:v>С. 3: r — «доля общих генов»; с. 4: сёстры 75% без условий; с. 5–6: универсальные стратегии полов; с. 8: Schistocephalus solidus, рачок-бокоплав → утка.</x:v>
      </x:c>
      <x:c r="F9" s="16" t="str">
        <x:v>Прямого достаточного подтверждения в изученных материалах Антропогенеза не найдено; это не доказательство ложности.</x:v>
      </x:c>
      <x:c r="G9" s="16" t="str">
        <x:v>Нужно проверить определение родства, условия гаплодиплоидной модели и полный жизненный цикл паразита. Генетическое объяснение поведения не должно становиться универсальным правилом.</x:v>
      </x:c>
      <x:c r="H9" s="16" t="str">
        <x:v>Привязать каждый пример к конкретному виду и условиям; проверить цикл по паразитологическому первоисточнику. Эти пункты не включены в число подтверждённых расхождений с Антропогенезом.</x:v>
      </x:c>
      <x:c r="I9" s="16" t="str">
        <x:v>Внутренняя сверка</x:v>
      </x:c>
      <x:c r="J9" s="16" t="str">
        <x:v>public/assets/materials/evolutionary-advantage-genes-behavior.pdf, с. 3
public/assets/materials/evolutionary-advantage-genes-behavior.pdf, с. 4
public/assets/materials/evolutionary-advantage-genes-behavior.pdf, с. 5
public/assets/materials/evolutionary-advantage-genes-behavior.pdf, с. 8</x:v>
      </x:c>
      <x:c r="K9" s="16" t="str"/>
      <x:c r="L9" s="21" t="str">
        <x:v>Нужен первоисточник</x:v>
      </x:c>
      <x:c r="M9" s="16" t="str">
        <x:v>Граница выполненной проверки</x:v>
      </x:c>
    </x:row>
    <x:row r="10" ht="145.5" customHeight="1">
      <x:c r="A10" s="17" t="str">
        <x:v>V05</x:v>
      </x:c>
      <x:c r="B10" s="19" t="str">
        <x:v>P2</x:v>
      </x:c>
      <x:c r="C10" s="8" t="str">
        <x:v>Требует проверки</x:v>
      </x:c>
      <x:c r="D10" s="8" t="str">
        <x:v>Глубокое время: даты и происхождение признаков</x:v>
      </x:c>
      <x:c r="E10" s="8" t="str">
        <x:v>Лёгкие → tetrapods 365 млн; слуховые косточки → cynodonts 250 млн; кислородная атмосфера → cyanobacteria 2,7 млрд; разные даты эукариот и LUCA на страницах и в PDF.</x:v>
      </x:c>
      <x:c r="F10" s="8" t="str">
        <x:v>Прямого достаточного подтверждения в изученных материалах Антропогенеза не найдено; это не доказательство ложности.</x:v>
      </x:c>
      <x:c r="G10" s="8" t="str">
        <x:v>Датировки ранней жизни и постепенные анатомические преобразования нельзя целиком проверить по антропологическому каталогу. Есть смешение иллюстративных узлов и времени появления признака.</x:v>
      </x:c>
      <x:c r="H10" s="8" t="str">
        <x:v>После A03 провести отдельную сверку по профильным палеонтологическим и геохимическим первоисточникам; различать начало процесса и завершение комплекса признаков.</x:v>
      </x:c>
      <x:c r="I10" s="8" t="str">
        <x:v>Внутренняя сверка</x:v>
      </x:c>
      <x:c r="J10" s="8" t="str">
        <x:v>src/data/bodyTraits.ts:279
id: "body-lungs"
src/data/bodyTraits.ts:422
id: "senses-ear-bones"
src/data/bodyTraits.ts:158
id: "cells-oxygen"
src/data/luca.ts:17
export const</x:v>
      </x:c>
      <x:c r="K10" s="8" t="str"/>
      <x:c r="L10" s="21" t="str">
        <x:v>Нужен первоисточник</x:v>
      </x:c>
      <x:c r="M10" s="8" t="str">
        <x:v>Граница выполненной проверки</x:v>
      </x:c>
    </x:row>
    <x:row r="11" ht="133.5" customHeight="1">
      <x:c r="A11" s="18" t="str">
        <x:v>V06</x:v>
      </x:c>
      <x:c r="B11" s="20" t="str">
        <x:v>P2</x:v>
      </x:c>
      <x:c r="C11" s="16" t="str">
        <x:v>Требует проверки</x:v>
      </x:c>
      <x:c r="D11" s="16" t="str">
        <x:v>Вымирания: точные проценты и длительности</x:v>
      </x:c>
      <x:c r="E11" s="16" t="str">
        <x:v>PDF: первая ордовикская волна 85% за 340 тыс.; все виды при пермском 90–96%; доминирование млекопитающих за 185 тыс.; человек разрушил экосистемы быстрее любого астероида.</x:v>
      </x:c>
      <x:c r="F11" s="16" t="str">
        <x:v>Прямого достаточного подтверждения в изученных материалах Антропогенеза не найдено; это не доказательство ложности.</x:v>
      </x:c>
      <x:c r="G11" s="16" t="str">
        <x:v>Метрики видов/родов/семейств, географический охват и интервалы смешаны. Форум Антропогенеза специально обращает внимание на несопоставимость масштабов прошлых и нынешнего кризисов.</x:v>
      </x:c>
      <x:c r="H11" s="16" t="str">
        <x:v>Проверить численные оценки и модели; снабдить цифры единицей, выборкой и источником. Убрать абсолютное сравнение с любым астероидом, если для него нет определённой метрики.</x:v>
      </x:c>
      <x:c r="I11" s="23" t="e">
        <x:f>HYPERLINK("#'Источники'!A16","S11")</x:f>
        <x:v>HYPERLINK is not implemented. linkLocation=#'Источники'!A16, friendlyName=S11</x:v>
      </x:c>
      <x:c r="J11" s="16" t="str">
        <x:v>public/assets/materials/six-planet-apocalypses.pdf, с. 3
public/assets/materials/six-planet-apocalypses.pdf, с. 7
public/assets/materials/six-planet-apocalypses.pdf, с. 13
public/assets/materials/six-planet-apocalypses.pdf, с. 14
src/data/extinctions.ts:51
export const MASS_EXTINCTIONS</x:v>
      </x:c>
      <x:c r="K11" s="16" t="str"/>
      <x:c r="L11" s="21" t="str">
        <x:v>Нужен первоисточник</x:v>
      </x:c>
      <x:c r="M11" s="16" t="str">
        <x:v>Граница выполненной проверки</x:v>
      </x:c>
    </x:row>
  </x:sheetData>
  <x:conditionalFormatting sqref="B6:B11">
    <x:cfRule type="expression" dxfId="6" priority="1">
      <x:formula>B6="P1"</x:formula>
    </x:cfRule>
    <x:cfRule type="expression" dxfId="7" priority="2">
      <x:formula>B6="P2"</x:formula>
    </x:cfRule>
  </x:conditionalFormatting>
  <x:conditionalFormatting sqref="L6:L11">
    <x:cfRule type="expression" dxfId="8" priority="3">
      <x:formula>L6="Внесено"</x:formula>
    </x:cfRule>
  </x:conditionalFormatting>
  <x:dataValidations count="1">
    <x:dataValidation type="list" sqref="L6:L11">
      <x:formula1>"К рассмотрению,Не заменять автоматически,Нужен первоисточник,Принято,В работе,Внесено,Отклонено"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4696d098f14153"/>
  </x:tableParts>
</x:worksheet>
</file>

<file path=xl/worksheets/sheet4.xml><?xml version="1.0" encoding="utf-8"?>
<x:worksheet xmlns:x="http://schemas.openxmlformats.org/spreadsheetml/2006/main">
  <x:sheetPr>
    <x:tabColor rgb="FF8C999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.25" hidden="0" customWidth="1"/>
    <x:col min="2" max="2" width="62.5" hidden="0" customWidth="1"/>
    <x:col min="3" max="3" width="82.5" hidden="0" customWidth="1"/>
    <x:col min="4" max="4" width="60" hidden="0" customWidth="1"/>
  </x:cols>
  <x:sheetData>
    <x:row r="1">
      <x:c r="A1" s="1"/>
      <x:c r="B1" s="1"/>
      <x:c r="C1" s="1"/>
      <x:c r="D1" s="1"/>
    </x:row>
    <x:row r="2">
      <x:c r="A2" s="3" t="str">
        <x:v>Что проверено и как пользоваться таблицей</x:v>
      </x:c>
      <x:c r="B2" s="1"/>
      <x:c r="C2" s="1"/>
      <x:c r="D2" s="1"/>
    </x:row>
    <x:row r="3">
      <x:c r="A3" s="5" t="str">
        <x:v>Снимок 13.09.2026 · 4c4825c3721b · 38 карточек, 44 признака, 5 PDF / 78 страниц · 42 источника</x:v>
      </x:c>
      <x:c r="B3" s="1"/>
      <x:c r="C3" s="1"/>
      <x:c r="D3" s="1"/>
    </x:row>
    <x:row r="4">
      <x:c r="A4" s="6"/>
      <x:c r="B4" s="6"/>
      <x:c r="C4" s="6"/>
      <x:c r="D4" s="6"/>
    </x:row>
    <x:row r="5" ht="36" customHeight="1">
      <x:c r="A5" s="13" t="str">
        <x:v>Раздел</x:v>
      </x:c>
      <x:c r="B5" s="14" t="str">
        <x:v>Объём проверки</x:v>
      </x:c>
      <x:c r="C5" s="14" t="str">
        <x:v>Результат / граница</x:v>
      </x:c>
      <x:c r="D5" s="15" t="str">
        <x:v>Файлы</x:v>
      </x:c>
    </x:row>
    <x:row r="6" ht="58.5" customHeight="1">
      <x:c r="A6" s="8" t="str">
        <x:v>Атлас и приматы</x:v>
      </x:c>
      <x:c r="B6" s="8" t="str">
        <x:v>Все 38 карточек lineage.ts; основной акцент на приматах и человеке</x:v>
      </x:c>
      <x:c r="C6" s="8" t="str">
        <x:v>Проверены формулировки, даты, статусы и переходы; глубокое время частично вынесено в V05.</x:v>
      </x:c>
      <x:c r="D6" s="8" t="str">
        <x:v>src/data/lineage.ts
src/data/primateGroups.ts</x:v>
      </x:c>
    </x:row>
    <x:row r="7" ht="58.5" customHeight="1">
      <x:c r="A7" s="16" t="str">
        <x:v>Дерево родства</x:v>
      </x:c>
      <x:c r="B7" s="16" t="str">
        <x:v>Построение ствола, боковые ветви, вычисление общего предка, статический постер</x:v>
      </x:c>
      <x:c r="C7" s="16" t="str">
        <x:v>A01–A03, A21–A22, A30. Проверка по данным и логике; не полный браузерный UX-аудит.</x:v>
      </x:c>
      <x:c r="D7" s="16" t="str">
        <x:v>src/lib/cladogram.ts
src/lib/accumulatedTraits.ts
src/data/treeOfLifePoster.ts</x:v>
      </x:c>
    </x:row>
    <x:row r="8" ht="58.5" customHeight="1">
      <x:c r="A8" s="8" t="str">
        <x:v>Карта признаков</x:v>
      </x:c>
      <x:c r="B8" s="8" t="str">
        <x:v>Все 44 записей bodyTraits.ts и смысл уверенности/дат в интерфейсе</x:v>
      </x:c>
      <x:c r="C8" s="8" t="str">
        <x:v>A09–A14. Базовая анатомия прочитана; датировки глубокого времени требуют V05.</x:v>
      </x:c>
      <x:c r="D8" s="8" t="str">
        <x:v>src/data/bodyTraits.ts
src/pages/BodyMapPage.tsx
src/data/confidence.ts</x:v>
      </x:c>
    </x:row>
    <x:row r="9" ht="58.5" customHeight="1">
      <x:c r="A9" s="16" t="str">
        <x:v>Происхождение sapiens и миграции</x:v>
      </x:c>
      <x:c r="B9" s="16" t="str">
        <x:v>4 памятника и 6 маршрутов</x:v>
      </x:c>
      <x:c r="C9" s="16" t="str">
        <x:v>A15–A18, D01–D02. Даты Европы, Сахула и Америки просмотрены, но не все получили достаточную независимую опору в выбранном ресурсе.</x:v>
      </x:c>
      <x:c r="D9" s="16" t="str">
        <x:v>src/data/humanOrigins.ts
src/components/education/AfricaOriginMap.tsx</x:v>
      </x:c>
    </x:row>
    <x:row r="10" ht="58.5" customHeight="1">
      <x:c r="A10" s="8" t="str">
        <x:v>Генетика</x:v>
      </x:c>
      <x:c r="B10" s="8" t="str">
        <x:v>Сравнения геномов, хромосома 2, общность кода, ретровирусные вставки</x:v>
      </x:c>
      <x:c r="C10" s="8" t="str">
        <x:v>Базовые объяснения не дали оснований для правки; D07 сохраняет различение метрик. Детальная проверка каждого процента не заявляется.</x:v>
      </x:c>
      <x:c r="D10" s="8" t="str">
        <x:v>src/data/genetics.ts
src/pages/GeneticsPage.tsx</x:v>
      </x:c>
    </x:row>
    <x:row r="11" ht="61.5" customHeight="1">
      <x:c r="A11" s="16" t="str">
        <x:v>Теория, словарь, факты, тест</x:v>
      </x:c>
      <x:c r="B11" s="16" t="str">
        <x:v>Научная теория и доказательства, терминология, короткие факты, вопросы теста</x:v>
      </x:c>
      <x:c r="C11" s="16" t="str">
        <x:v>Основные тезисы о ветвлении, общем предке и научной теории согласуются с источником; A19. Исторические названия групп на источнике не перенесены автоматически.</x:v>
      </x:c>
      <x:c r="D11" s="16" t="str">
        <x:v>src/data/evidence.ts
src/data/glossary.ts
src/data/curiosityFacts.ts
src/data/quiz.ts</x:v>
      </x:c>
    </x:row>
    <x:row r="12" ht="58.5" customHeight="1">
      <x:c r="A12" s="8" t="str">
        <x:v>Гид и источники</x:v>
      </x:c>
      <x:c r="B12" s="8" t="str">
        <x:v>Текст экскурсии, набор научных ссылок, формирование AI-контекста</x:v>
      </x:c>
      <x:c r="C12" s="8" t="str">
        <x:v>A20; проверены данные, из которых собирается ответ. Самостоятельные живые ответы AI-гида не тестировались.</x:v>
      </x:c>
      <x:c r="D12" s="8" t="str">
        <x:v>src/data/guidedTour.ts
src/data/scienceSources.ts
src/lib/aiGuideContext.ts</x:v>
      </x:c>
    </x:row>
    <x:row r="13" ht="58.5" customHeight="1">
      <x:c r="A13" s="16" t="str">
        <x:v>Зарождение жизни</x:v>
      </x:c>
      <x:c r="B13" s="16" t="str">
        <x:v>LUCA, шесть гипотез происхождения жизни, оговорки о неопределённости</x:v>
      </x:c>
      <x:c r="C13" s="16" t="str">
        <x:v>Прочитано; отсутствие единого завершённого сценария изложено осторожно. Полная источниковая проверка молекулярных механизмов вне этой таблицы.</x:v>
      </x:c>
      <x:c r="D13" s="16" t="str">
        <x:v>src/data/luca.ts
src/data/originHypotheses.ts</x:v>
      </x:c>
    </x:row>
    <x:row r="14" ht="58.5" customHeight="1">
      <x:c r="A14" s="8" t="str">
        <x:v>Динозавры и вымирания</x:v>
      </x:c>
      <x:c r="B14" s="8" t="str">
        <x:v>Данные ветви птиц, основные события и причины кризисов, геологическая шкала</x:v>
      </x:c>
      <x:c r="C14" s="8" t="str">
        <x:v>Выборочная сверка с материалами ресурса: A31–A32, D08–D09, V06. Полная проверка всех процентов и видов не заявляется.</x:v>
      </x:c>
      <x:c r="D14" s="8" t="str">
        <x:v>src/data/dinosaurLineage.ts
src/data/extinctions.ts
src/data/geologicPeriods.ts</x:v>
      </x:c>
    </x:row>
    <x:row r="15" ht="73.5" customHeight="1">
      <x:c r="A15" s="16" t="str">
        <x:v>Пять PDF-презентаций</x:v>
      </x:c>
      <x:c r="B15" s="16" t="str">
        <x:v>78 страниц: 18 + 12 + 18 + 12 + 18</x:v>
      </x:c>
      <x:c r="C15" s="16" t="str">
        <x:v>OCR всего текста; визуально перепроверены ключевые страницы, на которых основаны уверенные выводы. A23–A29, A31–A33; неподтверждённые механизмы V01–V06.</x:v>
      </x:c>
      <x:c r="D15" s="16" t="str">
        <x:v>public/assets/materials/path-from-cell-to-human.pdf
public/assets/materials/cell-to-human-kids.pdf
public/assets/materials/homo-luca-sapiens.pdf
public/assets/materials/evolutionary-advantage-genes-behavior.pdf
public/assets/materials/six-planet-apocalypses.pdf</x:v>
      </x:c>
    </x:row>
    <x:row r="16" ht="58.5" customHeight="1">
      <x:c r="A16" s="8" t="str">
        <x:v>За пределами проверки</x:v>
      </x:c>
      <x:c r="B16" s="8" t="str">
        <x:v>Полные тексты рекомендованных книг, видео/аудио, анатомическая точность всех AI-иллюстраций, динамические ответы гида, игровые сценарии</x:v>
      </x:c>
      <x:c r="C16" s="8" t="str">
        <x:v>Не проверены полностью. Отсутствие строки в таблице не означает подтверждение каждого утверждения.</x:v>
      </x:c>
      <x:c r="D16" s="8" t="str">
        <x:v>src/data/materials.ts
src/pages/GamePage.tsx</x:v>
      </x:c>
    </x:row>
  </x:sheetData>
  <x:pageMargins left="0.7" right="0.7" top="0.75" bottom="0.75" header="0.3" footer="0.3"/>
  <x:tableParts count="1">
    <x:tablePart xmlns:r="http://schemas.openxmlformats.org/officeDocument/2006/relationships" r:id="R6e283133b6bf4e1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5" hidden="0" customWidth="1"/>
    <x:col min="2" max="2" width="70" hidden="0" customWidth="1"/>
    <x:col min="3" max="3" width="53.75" hidden="0" customWidth="1"/>
    <x:col min="4" max="4" width="28.75" hidden="0" customWidth="1"/>
    <x:col min="5" max="5" width="43.75" hidden="0" customWidth="1"/>
  </x:cols>
  <x:sheetData>
    <x:row r="1">
      <x:c r="A1" s="1"/>
      <x:c r="B1" s="1"/>
      <x:c r="C1" s="1"/>
      <x:c r="D1" s="1"/>
      <x:c r="E1" s="1"/>
    </x:row>
    <x:row r="2">
      <x:c r="A2" s="3" t="str">
        <x:v>Источники и использующие их позиции</x:v>
      </x:c>
      <x:c r="B2" s="1"/>
      <x:c r="C2" s="1"/>
      <x:c r="D2" s="1"/>
      <x:c r="E2" s="1"/>
    </x:row>
    <x:row r="3">
      <x:c r="A3" s="5" t="str">
        <x:v>Основной ресурс — Антропогенез.РУ; S42 — дополнительная проверка по первичной работе Nature. Дата обращения: 13.09.2026.</x:v>
      </x:c>
      <x:c r="B3" s="1"/>
      <x:c r="C3" s="1"/>
      <x:c r="D3" s="1"/>
      <x:c r="E3" s="1"/>
    </x:row>
    <x:row r="4">
      <x:c r="A4" s="6"/>
      <x:c r="B4" s="6"/>
      <x:c r="C4" s="6"/>
      <x:c r="D4" s="6"/>
      <x:c r="E4" s="6"/>
    </x:row>
    <x:row r="5" ht="36" customHeight="1">
      <x:c r="A5" s="13" t="str">
        <x:v>ID</x:v>
      </x:c>
      <x:c r="B5" s="14" t="str">
        <x:v>Материал</x:v>
      </x:c>
      <x:c r="C5" s="14" t="str">
        <x:v>Ссылка</x:v>
      </x:c>
      <x:c r="D5" s="14" t="str">
        <x:v>Дата материала</x:v>
      </x:c>
      <x:c r="E5" s="15" t="str">
        <x:v>Позиции таблицы</x:v>
      </x:c>
    </x:row>
    <x:row r="6" ht="58.5" customHeight="1">
      <x:c r="A6" s="8" t="str">
        <x:v>S01</x:v>
      </x:c>
      <x:c r="B6" s="8" t="str">
        <x:v>Внутренний гетерострак. Рецензия на книгу «Предшественники рыб, бесчелюстные — начало пути к человеку» - Антропогенез.РУ</x:v>
      </x:c>
      <x:c r="C6" s="22" t="e">
        <x:f>HYPERLINK("https://antropogenez.ru/article/1001/","https://antropogenez.ru/article/1001/")</x:f>
        <x:v>HYPERLINK is not implemented. linkLocation=https://antropogenez.ru/article/1001/, friendlyName=https://antropogenez.ru/article/1001/</x:v>
      </x:c>
      <x:c r="D6" s="8" t="str">
        <x:v>не указана в прочитанном материале</x:v>
      </x:c>
      <x:c r="E6" s="8" t="str">
        <x:v>A28</x:v>
      </x:c>
    </x:row>
    <x:row r="7" ht="58.5" customHeight="1">
      <x:c r="A7" s="16" t="str">
        <x:v>S02</x:v>
      </x:c>
      <x:c r="B7" s="16" t="str">
        <x:v>«Их скелеты продаются за миллионы долларов» - Антропогенез.РУ</x:v>
      </x:c>
      <x:c r="C7" s="23" t="e">
        <x:f>HYPERLINK("https://antropogenez.ru/article/1026/","https://antropogenez.ru/article/1026/")</x:f>
        <x:v>HYPERLINK is not implemented. linkLocation=https://antropogenez.ru/article/1026/, friendlyName=https://antropogenez.ru/article/1026/</x:v>
      </x:c>
      <x:c r="D7" s="16" t="str">
        <x:v>не указана в прочитанном материале</x:v>
      </x:c>
      <x:c r="E7" s="16" t="str">
        <x:v>A32; D08</x:v>
      </x:c>
    </x:row>
    <x:row r="8" ht="58.5" customHeight="1">
      <x:c r="A8" s="8" t="str">
        <x:v>S03</x:v>
      </x:c>
      <x:c r="B8" s="8" t="str">
        <x:v>Пещера Брюникель - древнейшее свидетельство ритуальной деятельности - Антропогенез.РУ</x:v>
      </x:c>
      <x:c r="C8" s="22" t="e">
        <x:f>HYPERLINK("https://antropogenez.ru/article/1067/","https://antropogenez.ru/article/1067/")</x:f>
        <x:v>HYPERLINK is not implemented. linkLocation=https://antropogenez.ru/article/1067/, friendlyName=https://antropogenez.ru/article/1067/</x:v>
      </x:c>
      <x:c r="D8" s="8" t="str">
        <x:v>не указана в прочитанном материале</x:v>
      </x:c>
      <x:c r="E8" s="8" t="str">
        <x:v>A14</x:v>
      </x:c>
    </x:row>
    <x:row r="9" ht="58.5" customHeight="1">
      <x:c r="A9" s="16" t="str">
        <x:v>S04</x:v>
      </x:c>
      <x:c r="B9" s="16" t="str">
        <x:v>От кита-гибрида до женщины-викинга. Горячая десятка АНТРОПОГЕНЕЗ.РУ - 2019 - Антропогенез.РУ</x:v>
      </x:c>
      <x:c r="C9" s="23" t="e">
        <x:f>HYPERLINK("https://antropogenez.ru/article/1116/","https://antropogenez.ru/article/1116/")</x:f>
        <x:v>HYPERLINK is not implemented. linkLocation=https://antropogenez.ru/article/1116/, friendlyName=https://antropogenez.ru/article/1116/</x:v>
      </x:c>
      <x:c r="D9" s="16" t="str">
        <x:v>не указана в прочитанном материале</x:v>
      </x:c>
      <x:c r="E9" s="16" t="str">
        <x:v>A22; A25</x:v>
      </x:c>
    </x:row>
    <x:row r="10" ht="58.5" customHeight="1">
      <x:c r="A10" s="8" t="str">
        <x:v>S05</x:v>
      </x:c>
      <x:c r="B10" s="8" t="str">
        <x:v>“Где Брут живет, там Цезарь жить не может”: новые данные о хронологии Homo sapiens в Китае опровергают их раннее присутствие в Восточной Азии - Антропогенез.РУ</x:v>
      </x:c>
      <x:c r="C10" s="22" t="e">
        <x:f>HYPERLINK("https://antropogenez.ru/article/1143/","https://antropogenez.ru/article/1143/")</x:f>
        <x:v>HYPERLINK is not implemented. linkLocation=https://antropogenez.ru/article/1143/, friendlyName=https://antropogenez.ru/article/1143/</x:v>
      </x:c>
      <x:c r="D10" s="8" t="str">
        <x:v>не указана в прочитанном материале</x:v>
      </x:c>
      <x:c r="E10" s="8" t="str">
        <x:v>A18</x:v>
      </x:c>
    </x:row>
    <x:row r="11" ht="58.5" customHeight="1">
      <x:c r="A11" s="16" t="str">
        <x:v>S06</x:v>
      </x:c>
      <x:c r="B11" s="16" t="str">
        <x:v>Птицы для неандертальских перьев - Антропогенез.РУ</x:v>
      </x:c>
      <x:c r="C11" s="23" t="e">
        <x:f>HYPERLINK("https://antropogenez.ru/article/1144/","https://antropogenez.ru/article/1144/")</x:f>
        <x:v>HYPERLINK is not implemented. linkLocation=https://antropogenez.ru/article/1144/, friendlyName=https://antropogenez.ru/article/1144/</x:v>
      </x:c>
      <x:c r="D11" s="16" t="str">
        <x:v>не указана в прочитанном материале</x:v>
      </x:c>
      <x:c r="E11" s="16" t="str">
        <x:v>A14</x:v>
      </x:c>
    </x:row>
    <x:row r="12" ht="58.5" customHeight="1">
      <x:c r="A12" s="8" t="str">
        <x:v>S07</x:v>
      </x:c>
      <x:c r="B12" s="8" t="str">
        <x:v>Генетические отличия: человек и шимпанзе, их ДНК (гены, хромосомы) - Антропогенез.РУ</x:v>
      </x:c>
      <x:c r="C12" s="22" t="e">
        <x:f>HYPERLINK("https://antropogenez.ru/article/75/","https://antropogenez.ru/article/75/")</x:f>
        <x:v>HYPERLINK is not implemented. linkLocation=https://antropogenez.ru/article/75/, friendlyName=https://antropogenez.ru/article/75/</x:v>
      </x:c>
      <x:c r="D12" s="8" t="str">
        <x:v>не указана в прочитанном материале</x:v>
      </x:c>
      <x:c r="E12" s="8" t="str">
        <x:v>D07</x:v>
      </x:c>
    </x:row>
    <x:row r="13" ht="58.5" customHeight="1">
      <x:c r="A13" s="16" t="str">
        <x:v>S08</x:v>
      </x:c>
      <x:c r="B13" s="16" t="str">
        <x:v>Новейшие денисовцы, древнейшая ДНК. 14 антропологических новостей из Лондона - Антропогенез.РУ</x:v>
      </x:c>
      <x:c r="C13" s="23" t="e">
        <x:f>HYPERLINK("https://antropogenez.ru/article/859/","https://antropogenez.ru/article/859/")</x:f>
        <x:v>HYPERLINK is not implemented. linkLocation=https://antropogenez.ru/article/859/, friendlyName=https://antropogenez.ru/article/859/</x:v>
      </x:c>
      <x:c r="D13" s="16" t="str">
        <x:v>не указана в прочитанном материале</x:v>
      </x:c>
      <x:c r="E13" s="16" t="str">
        <x:v>D05; D06</x:v>
      </x:c>
    </x:row>
    <x:row r="14" ht="58.5" customHeight="1">
      <x:c r="A14" s="8" t="str">
        <x:v>S09</x:v>
      </x:c>
      <x:c r="B14" s="8" t="str">
        <x:v>Ископаемые люди. Древнейшие предки человека. Этапы эволюции гоминид - Антропогенез.РУ</x:v>
      </x:c>
      <x:c r="C14" s="22" t="e">
        <x:f>HYPERLINK("https://antropogenez.ru/catalog-hominids/","https://antropogenez.ru/catalog-hominids/")</x:f>
        <x:v>HYPERLINK is not implemented. linkLocation=https://antropogenez.ru/catalog-hominids/, friendlyName=https://antropogenez.ru/catalog-hominids/</x:v>
      </x:c>
      <x:c r="D14" s="8" t="str">
        <x:v>не указана в прочитанном материале</x:v>
      </x:c>
      <x:c r="E14" s="8" t="str">
        <x:v>A03; A08; A20; A21; D01; D03; D04; D05</x:v>
      </x:c>
    </x:row>
    <x:row r="15" ht="58.5" customHeight="1">
      <x:c r="A15" s="16" t="str">
        <x:v>S10</x:v>
      </x:c>
      <x:c r="B15" s="16" t="str">
        <x:v>Древо эволюции человека — Георгий Попов, научный консультант С. Дробышевский</x:v>
      </x:c>
      <x:c r="C15" s="23" t="e">
        <x:f>HYPERLINK("https://antropogenez.ru/fileadmin/user_upload/Drevo_iyun_2024.pdf","https://antropogenez.ru/fileadmin/user_upload/Drevo_iyun_2024.pdf")</x:f>
        <x:v>HYPERLINK is not implemented. linkLocation=https://antropogenez.ru/fileadmin/user_upload/Drevo_iyun_2024.pdf, friendlyName=https://antropogenez.ru/fileadmin/user_upload/Drevo_iyun_2024.pdf</x:v>
      </x:c>
      <x:c r="D15" s="16" t="str">
        <x:v>июнь 2024</x:v>
      </x:c>
      <x:c r="E15" s="16" t="str">
        <x:v>A01; A03; A22; A24</x:v>
      </x:c>
    </x:row>
    <x:row r="16" ht="58.5" customHeight="1">
      <x:c r="A16" s="8" t="str">
        <x:v>S11</x:v>
      </x:c>
      <x:c r="B16" s="8" t="str">
        <x:v>Учёные против мифов. Пробуждение Пингвохотепа. Итоги Форума - Антропогенез.РУ</x:v>
      </x:c>
      <x:c r="C16" s="22" t="e">
        <x:f>HYPERLINK("https://antropogenez.ru/forum17-itogi/","https://antropogenez.ru/forum17-itogi/")</x:f>
        <x:v>HYPERLINK is not implemented. linkLocation=https://antropogenez.ru/forum17-itogi/, friendlyName=https://antropogenez.ru/forum17-itogi/</x:v>
      </x:c>
      <x:c r="D16" s="8" t="str">
        <x:v>не указана в прочитанном материале</x:v>
      </x:c>
      <x:c r="E16" s="8" t="str">
        <x:v>A31; V06</x:v>
      </x:c>
    </x:row>
    <x:row r="17" ht="58.5" customHeight="1">
      <x:c r="A17" s="16" t="str">
        <x:v>S12</x:v>
      </x:c>
      <x:c r="B17" s="16" t="str">
        <x:v>Дманиси 3444 + 3900 - D-3444 + D-3900 - Антропогенез.РУ</x:v>
      </x:c>
      <x:c r="C17" s="23" t="e">
        <x:f>HYPERLINK("https://antropogenez.ru/fossil/126/","https://antropogenez.ru/fossil/126/")</x:f>
        <x:v>HYPERLINK is not implemented. linkLocation=https://antropogenez.ru/fossil/126/, friendlyName=https://antropogenez.ru/fossil/126/</x:v>
      </x:c>
      <x:c r="D17" s="16" t="str">
        <x:v>не указана в прочитанном материале</x:v>
      </x:c>
      <x:c r="E17" s="16" t="str">
        <x:v>A12</x:v>
      </x:c>
    </x:row>
    <x:row r="18" ht="58.5" customHeight="1">
      <x:c r="A18" s="8" t="str">
        <x:v>S13</x:v>
      </x:c>
      <x:c r="B18" s="8" t="str">
        <x:v>Откуда хобот у слона и как работает ДНК? - Антропогенез.РУ</x:v>
      </x:c>
      <x:c r="C18" s="22" t="e">
        <x:f>HYPERLINK("https://antropogenez.ru/interview/1003/","https://antropogenez.ru/interview/1003/")</x:f>
        <x:v>HYPERLINK is not implemented. linkLocation=https://antropogenez.ru/interview/1003/, friendlyName=https://antropogenez.ru/interview/1003/</x:v>
      </x:c>
      <x:c r="D18" s="8" t="str">
        <x:v>не указана в прочитанном материале</x:v>
      </x:c>
      <x:c r="E18" s="8" t="str">
        <x:v>D09</x:v>
      </x:c>
    </x:row>
    <x:row r="19" ht="58.5" customHeight="1">
      <x:c r="A19" s="16" t="str">
        <x:v>S14</x:v>
      </x:c>
      <x:c r="B19" s="16" t="str">
        <x:v>Любой народ - это сброд перемешанных племён... - Антропогенез.РУ</x:v>
      </x:c>
      <x:c r="C19" s="23" t="e">
        <x:f>HYPERLINK("https://antropogenez.ru/interview/773/","https://antropogenez.ru/interview/773/")</x:f>
        <x:v>HYPERLINK is not implemented. linkLocation=https://antropogenez.ru/interview/773/, friendlyName=https://antropogenez.ru/interview/773/</x:v>
      </x:c>
      <x:c r="D19" s="16" t="str">
        <x:v>не указана в прочитанном материале</x:v>
      </x:c>
      <x:c r="E19" s="16" t="str">
        <x:v>A13</x:v>
      </x:c>
    </x:row>
    <x:row r="20" ht="58.5" customHeight="1">
      <x:c r="A20" s="8" t="str">
        <x:v>S15</x:v>
      </x:c>
      <x:c r="B20" s="8" t="str">
        <x:v>Вопросы с выставки. Часть 4 - Антропогенез.РУ</x:v>
      </x:c>
      <x:c r="C20" s="22" t="e">
        <x:f>HYPERLINK("https://antropogenez.ru/interview/794/","https://antropogenez.ru/interview/794/")</x:f>
        <x:v>HYPERLINK is not implemented. linkLocation=https://antropogenez.ru/interview/794/, friendlyName=https://antropogenez.ru/interview/794/</x:v>
      </x:c>
      <x:c r="D20" s="8" t="str">
        <x:v>не указана в прочитанном материале</x:v>
      </x:c>
      <x:c r="E20" s="8" t="str">
        <x:v>D08</x:v>
      </x:c>
    </x:row>
    <x:row r="21" ht="58.5" customHeight="1">
      <x:c r="A21" s="16" t="str">
        <x:v>S16</x:v>
      </x:c>
      <x:c r="B21" s="16" t="str">
        <x:v>Чтобы не было пурги в голове, надо внимательно читать - Антропогенез.РУ</x:v>
      </x:c>
      <x:c r="C21" s="23" t="e">
        <x:f>HYPERLINK("https://antropogenez.ru/interview/913/","https://antropogenez.ru/interview/913/")</x:f>
        <x:v>HYPERLINK is not implemented. linkLocation=https://antropogenez.ru/interview/913/, friendlyName=https://antropogenez.ru/interview/913/</x:v>
      </x:c>
      <x:c r="D21" s="16" t="str">
        <x:v>не указана в прочитанном материале</x:v>
      </x:c>
      <x:c r="E21" s="16" t="str">
        <x:v>V02</x:v>
      </x:c>
    </x:row>
    <x:row r="22" ht="58.5" customHeight="1">
      <x:c r="A22" s="8" t="str">
        <x:v>S17</x:v>
      </x:c>
      <x:c r="B22" s="8" t="str">
        <x:v>Херто, Herto. Homo sapiens idaltu - Антропогенез.РУ</x:v>
      </x:c>
      <x:c r="C22" s="22" t="e">
        <x:f>HYPERLINK("https://antropogenez.ru/location/208/","https://antropogenez.ru/location/208/")</x:f>
        <x:v>HYPERLINK is not implemented. linkLocation=https://antropogenez.ru/location/208/, friendlyName=https://antropogenez.ru/location/208/</x:v>
      </x:c>
      <x:c r="D22" s="8" t="str">
        <x:v>не указана в прочитанном материале</x:v>
      </x:c>
      <x:c r="E22" s="8" t="str">
        <x:v>A15</x:v>
      </x:c>
    </x:row>
    <x:row r="23" ht="58.5" customHeight="1">
      <x:c r="A23" s="16" t="str">
        <x:v>S18</x:v>
      </x:c>
      <x:c r="B23" s="16" t="str">
        <x:v>Древние гоминиды говорили «в нос»? - Антропогенез.РУ</x:v>
      </x:c>
      <x:c r="C23" s="23" t="e">
        <x:f>HYPERLINK("https://antropogenez.ru/single-news/article/151/","https://antropogenez.ru/single-news/article/151/")</x:f>
        <x:v>HYPERLINK is not implemented. linkLocation=https://antropogenez.ru/single-news/article/151/, friendlyName=https://antropogenez.ru/single-news/article/151/</x:v>
      </x:c>
      <x:c r="D23" s="16" t="str">
        <x:v>29.11.2011</x:v>
      </x:c>
      <x:c r="E23" s="16" t="str">
        <x:v>A13; A25</x:v>
      </x:c>
    </x:row>
    <x:row r="24" ht="58.5" customHeight="1">
      <x:c r="A24" s="8" t="str">
        <x:v>S19</x:v>
      </x:c>
      <x:c r="B24" s="8" t="str">
        <x:v>Archicebus achilles - скелет древнейшего примата - Антропогенез.РУ</x:v>
      </x:c>
      <x:c r="C24" s="22" t="e">
        <x:f>HYPERLINK("https://antropogenez.ru/single-news/article/314/","https://antropogenez.ru/single-news/article/314/")</x:f>
        <x:v>HYPERLINK is not implemented. linkLocation=https://antropogenez.ru/single-news/article/314/, friendlyName=https://antropogenez.ru/single-news/article/314/</x:v>
      </x:c>
      <x:c r="D24" s="8" t="str">
        <x:v>10.06.2013</x:v>
      </x:c>
      <x:c r="E24" s="8" t="str">
        <x:v>A02</x:v>
      </x:c>
    </x:row>
    <x:row r="25" ht="58.5" customHeight="1">
      <x:c r="A25" s="16" t="str">
        <x:v>S20</x:v>
      </x:c>
      <x:c r="B25" s="16" t="str">
        <x:v>Хоббиты удаляются...  Хоббиты возвращаются! - Антропогенез.РУ</x:v>
      </x:c>
      <x:c r="C25" s="23" t="e">
        <x:f>HYPERLINK("https://antropogenez.ru/single-news/article/566/","https://antropogenez.ru/single-news/article/566/")</x:f>
        <x:v>HYPERLINK is not implemented. linkLocation=https://antropogenez.ru/single-news/article/566/, friendlyName=https://antropogenez.ru/single-news/article/566/</x:v>
      </x:c>
      <x:c r="D25" s="16" t="str">
        <x:v>01.04.2016</x:v>
      </x:c>
      <x:c r="E25" s="16" t="str">
        <x:v>A24</x:v>
      </x:c>
    </x:row>
    <x:row r="26" ht="58.5" customHeight="1">
      <x:c r="A26" s="8" t="str">
        <x:v>S21</x:v>
      </x:c>
      <x:c r="B26" s="8" t="str">
        <x:v>Новые находки из Джебель Ирхуда и происхождение нашего вида - Антропогенез.РУ</x:v>
      </x:c>
      <x:c r="C26" s="22" t="e">
        <x:f>HYPERLINK("https://antropogenez.ru/single-news/article/680/","https://antropogenez.ru/single-news/article/680/")</x:f>
        <x:v>HYPERLINK is not implemented. linkLocation=https://antropogenez.ru/single-news/article/680/, friendlyName=https://antropogenez.ru/single-news/article/680/</x:v>
      </x:c>
      <x:c r="D26" s="8" t="str">
        <x:v>08.06.2017</x:v>
      </x:c>
      <x:c r="E26" s="8" t="str">
        <x:v>A26; D01</x:v>
      </x:c>
    </x:row>
    <x:row r="27" ht="58.5" customHeight="1">
      <x:c r="A27" s="16" t="str">
        <x:v>S22</x:v>
      </x:c>
      <x:c r="B27" s="16" t="str">
        <x:v>Африканская прародина? Африканский мультирегионализм - Антропогенез.РУ</x:v>
      </x:c>
      <x:c r="C27" s="23" t="e">
        <x:f>HYPERLINK("https://antropogenez.ru/single-news/article/719/","https://antropogenez.ru/single-news/article/719/")</x:f>
        <x:v>HYPERLINK is not implemented. linkLocation=https://antropogenez.ru/single-news/article/719/, friendlyName=https://antropogenez.ru/single-news/article/719/</x:v>
      </x:c>
      <x:c r="D27" s="16" t="str">
        <x:v>29.07.2018</x:v>
      </x:c>
      <x:c r="E27" s="16" t="str">
        <x:v>A16; A17; A26</x:v>
      </x:c>
    </x:row>
    <x:row r="28" ht="58.5" customHeight="1">
      <x:c r="A28" s="8" t="str">
        <x:v>S23</x:v>
      </x:c>
      <x:c r="B28" s="8" t="str">
        <x:v>Древнейшие орудия труда из Леди-Герару - Антропогенез.РУ</x:v>
      </x:c>
      <x:c r="C28" s="22" t="e">
        <x:f>HYPERLINK("https://antropogenez.ru/single-news/article/810/","https://antropogenez.ru/single-news/article/810/")</x:f>
        <x:v>HYPERLINK is not implemented. linkLocation=https://antropogenez.ru/single-news/article/810/, friendlyName=https://antropogenez.ru/single-news/article/810/</x:v>
      </x:c>
      <x:c r="D28" s="8" t="str">
        <x:v>03.10.2019</x:v>
      </x:c>
      <x:c r="E28" s="8" t="str">
        <x:v>A10; A11; A23</x:v>
      </x:c>
    </x:row>
    <x:row r="29" ht="58.5" customHeight="1">
      <x:c r="A29" s="16" t="str">
        <x:v>S24</x:v>
      </x:c>
      <x:c r="B29" s="16" t="str">
        <x:v>Жилища древних людей. Приручение огня. Символизм - Антропогенез.РУ</x:v>
      </x:c>
      <x:c r="C29" s="23" t="e">
        <x:f>HYPERLINK("https://antropogenez.ru/zveno-single/129/","https://antropogenez.ru/zveno-single/129/")</x:f>
        <x:v>HYPERLINK is not implemented. linkLocation=https://antropogenez.ru/zveno-single/129/, friendlyName=https://antropogenez.ru/zveno-single/129/</x:v>
      </x:c>
      <x:c r="D29" s="16" t="str">
        <x:v>не указана в прочитанном материале</x:v>
      </x:c>
      <x:c r="E29" s="16" t="str">
        <x:v>A33</x:v>
      </x:c>
    </x:row>
    <x:row r="30" ht="58.5" customHeight="1">
      <x:c r="A30" s="8" t="str">
        <x:v>S25</x:v>
      </x:c>
      <x:c r="B30" s="8" t="str">
        <x:v>Прямохождение человека. Различия человека и человекообразных обезьян - Антропогенез.РУ</x:v>
      </x:c>
      <x:c r="C30" s="22" t="e">
        <x:f>HYPERLINK("https://antropogenez.ru/zveno-single/19/","https://antropogenez.ru/zveno-single/19/")</x:f>
        <x:v>HYPERLINK is not implemented. linkLocation=https://antropogenez.ru/zveno-single/19/, friendlyName=https://antropogenez.ru/zveno-single/19/</x:v>
      </x:c>
      <x:c r="D30" s="8" t="str">
        <x:v>не указана в прочитанном материале</x:v>
      </x:c>
      <x:c r="E30" s="8" t="str">
        <x:v>A09; A27</x:v>
      </x:c>
    </x:row>
    <x:row r="31" ht="58.5" customHeight="1">
      <x:c r="A31" s="16" t="str">
        <x:v>S26</x:v>
      </x:c>
      <x:c r="B31" s="16" t="str">
        <x:v>Генетика человека и обезьян. Почему человек произошёл от обезьяны - Антропогенез.РУ</x:v>
      </x:c>
      <x:c r="C31" s="23" t="e">
        <x:f>HYPERLINK("https://antropogenez.ru/zveno-single/25/","https://antropogenez.ru/zveno-single/25/")</x:f>
        <x:v>HYPERLINK is not implemented. linkLocation=https://antropogenez.ru/zveno-single/25/, friendlyName=https://antropogenez.ru/zveno-single/25/</x:v>
      </x:c>
      <x:c r="D31" s="16" t="str">
        <x:v>не указана в прочитанном материале</x:v>
      </x:c>
      <x:c r="E31" s="16" t="str">
        <x:v>D07</x:v>
      </x:c>
    </x:row>
    <x:row r="32" ht="58.5" customHeight="1">
      <x:c r="A32" s="8" t="str">
        <x:v>S27</x:v>
      </x:c>
      <x:c r="B32" s="8" t="str">
        <x:v>Возникновение Homo sapiens. Возраст. Древнейшие находки - Антропогенез.РУ</x:v>
      </x:c>
      <x:c r="C32" s="22" t="e">
        <x:f>HYPERLINK("https://antropogenez.ru/zveno-single/261/","https://antropogenez.ru/zveno-single/261/")</x:f>
        <x:v>HYPERLINK is not implemented. linkLocation=https://antropogenez.ru/zveno-single/261/, friendlyName=https://antropogenez.ru/zveno-single/261/</x:v>
      </x:c>
      <x:c r="D32" s="8" t="str">
        <x:v>не указана в прочитанном материале</x:v>
      </x:c>
      <x:c r="E32" s="8" t="str">
        <x:v>A15; D02</x:v>
      </x:c>
    </x:row>
    <x:row r="33" ht="58.5" customHeight="1">
      <x:c r="A33" s="16" t="str">
        <x:v>S28</x:v>
      </x:c>
      <x:c r="B33" s="16" t="str">
        <x:v>От кого произошла обезьяна. Плезиадаписовые, плезиадапис - Антропогенез.РУ</x:v>
      </x:c>
      <x:c r="C33" s="23" t="e">
        <x:f>HYPERLINK("https://antropogenez.ru/zveno-single/44/","https://antropogenez.ru/zveno-single/44/")</x:f>
        <x:v>HYPERLINK is not implemented. linkLocation=https://antropogenez.ru/zveno-single/44/, friendlyName=https://antropogenez.ru/zveno-single/44/</x:v>
      </x:c>
      <x:c r="D33" s="16" t="str">
        <x:v>не указана в прочитанном материале</x:v>
      </x:c>
      <x:c r="E33" s="16" t="str">
        <x:v>A04</x:v>
      </x:c>
    </x:row>
    <x:row r="34" ht="58.5" customHeight="1">
      <x:c r="A34" s="8" t="str">
        <x:v>S29</x:v>
      </x:c>
      <x:c r="B34" s="8" t="str">
        <x:v>Ископаемые полуобезьяны: адапоиды и омомисовые - Антропогенез.РУ</x:v>
      </x:c>
      <x:c r="C34" s="22" t="e">
        <x:f>HYPERLINK("https://antropogenez.ru/zveno-single/45/","https://antropogenez.ru/zveno-single/45/")</x:f>
        <x:v>HYPERLINK is not implemented. linkLocation=https://antropogenez.ru/zveno-single/45/, friendlyName=https://antropogenez.ru/zveno-single/45/</x:v>
      </x:c>
      <x:c r="D34" s="8" t="str">
        <x:v>не указана в прочитанном материале</x:v>
      </x:c>
      <x:c r="E34" s="8" t="str">
        <x:v>A02; A05</x:v>
      </x:c>
    </x:row>
    <x:row r="35" ht="58.5" customHeight="1">
      <x:c r="A35" s="16" t="str">
        <x:v>S30</x:v>
      </x:c>
      <x:c r="B35" s="16" t="str">
        <x:v>Возникновение высших приматов: эосимиды, амфипитециды и парапитециды - Антропогенез.РУ</x:v>
      </x:c>
      <x:c r="C35" s="23" t="e">
        <x:f>HYPERLINK("https://antropogenez.ru/zveno-single/47/","https://antropogenez.ru/zveno-single/47/")</x:f>
        <x:v>HYPERLINK is not implemented. linkLocation=https://antropogenez.ru/zveno-single/47/, friendlyName=https://antropogenez.ru/zveno-single/47/</x:v>
      </x:c>
      <x:c r="D35" s="16" t="str">
        <x:v>не указана в прочитанном материале</x:v>
      </x:c>
      <x:c r="E35" s="16" t="str">
        <x:v>A05</x:v>
      </x:c>
    </x:row>
    <x:row r="36" ht="58.5" customHeight="1">
      <x:c r="A36" s="8" t="str">
        <x:v>S31</x:v>
      </x:c>
      <x:c r="B36" s="8" t="str">
        <x:v>Ископаемые обезьяны: гоминоиды - Антропогенез.РУ</x:v>
      </x:c>
      <x:c r="C36" s="22" t="e">
        <x:f>HYPERLINK("https://antropogenez.ru/zveno-single/51/","https://antropogenez.ru/zveno-single/51/")</x:f>
        <x:v>HYPERLINK is not implemented. linkLocation=https://antropogenez.ru/zveno-single/51/, friendlyName=https://antropogenez.ru/zveno-single/51/</x:v>
      </x:c>
      <x:c r="D36" s="8" t="str">
        <x:v>не указана в прочитанном материале</x:v>
      </x:c>
      <x:c r="E36" s="8" t="str">
        <x:v>A06</x:v>
      </x:c>
    </x:row>
    <x:row r="37" ht="58.5" customHeight="1">
      <x:c r="A37" s="16" t="str">
        <x:v>S32</x:v>
      </x:c>
      <x:c r="B37" s="16" t="str">
        <x:v>Плезиадапиформы – предки приматов - Антропогенез.РУ</x:v>
      </x:c>
      <x:c r="C37" s="23" t="e">
        <x:f>HYPERLINK("https://antropogenez.ru/zveno-single/515/","https://antropogenez.ru/zveno-single/515/")</x:f>
        <x:v>HYPERLINK is not implemented. linkLocation=https://antropogenez.ru/zveno-single/515/, friendlyName=https://antropogenez.ru/zveno-single/515/</x:v>
      </x:c>
      <x:c r="D37" s="16" t="str">
        <x:v>не указана в прочитанном материале</x:v>
      </x:c>
      <x:c r="E37" s="16" t="str">
        <x:v>A04</x:v>
      </x:c>
    </x:row>
    <x:row r="38" ht="58.5" customHeight="1">
      <x:c r="A38" s="8" t="str">
        <x:v>S33</x:v>
      </x:c>
      <x:c r="B38" s="8" t="str">
        <x:v>Первые гоминиды. Австралопитеки ранние - Антропогенез.РУ</x:v>
      </x:c>
      <x:c r="C38" s="22" t="e">
        <x:f>HYPERLINK("https://antropogenez.ru/zveno-single/55/","https://antropogenez.ru/zveno-single/55/")</x:f>
        <x:v>HYPERLINK is not implemented. linkLocation=https://antropogenez.ru/zveno-single/55/, friendlyName=https://antropogenez.ru/zveno-single/55/</x:v>
      </x:c>
      <x:c r="D38" s="8" t="str">
        <x:v>не указана в прочитанном материале</x:v>
      </x:c>
      <x:c r="E38" s="8" t="str">
        <x:v>A01; A07; A27</x:v>
      </x:c>
    </x:row>
    <x:row r="39" ht="58.5" customHeight="1">
      <x:c r="A39" s="16" t="str">
        <x:v>S34</x:v>
      </x:c>
      <x:c r="B39" s="16" t="str">
        <x:v>Австралопитеки грацильные. Как они выглядели? - Антропогенез.РУ</x:v>
      </x:c>
      <x:c r="C39" s="23" t="e">
        <x:f>HYPERLINK("https://antropogenez.ru/zveno-single/56/","https://antropogenez.ru/zveno-single/56/")</x:f>
        <x:v>HYPERLINK is not implemented. linkLocation=https://antropogenez.ru/zveno-single/56/, friendlyName=https://antropogenez.ru/zveno-single/56/</x:v>
      </x:c>
      <x:c r="D39" s="16" t="str">
        <x:v>не указана в прочитанном материале</x:v>
      </x:c>
      <x:c r="E39" s="16" t="str">
        <x:v>A08</x:v>
      </x:c>
    </x:row>
    <x:row r="40" ht="58.5" customHeight="1">
      <x:c r="A40" s="8" t="str">
        <x:v>S35</x:v>
      </x:c>
      <x:c r="B40" s="8" t="str">
        <x:v>Ардипитек рамидус. Общий предок человека и обезьян (шимпанзе) - Антропогенез.РУ</x:v>
      </x:c>
      <x:c r="C40" s="22" t="e">
        <x:f>HYPERLINK("https://antropogenez.ru/zveno-single/57/","https://antropogenez.ru/zveno-single/57/")</x:f>
        <x:v>HYPERLINK is not implemented. linkLocation=https://antropogenez.ru/zveno-single/57/, friendlyName=https://antropogenez.ru/zveno-single/57/</x:v>
      </x:c>
      <x:c r="D40" s="8" t="str">
        <x:v>не указана в прочитанном материале</x:v>
      </x:c>
      <x:c r="E40" s="8" t="str">
        <x:v>A07; A09</x:v>
      </x:c>
    </x:row>
    <x:row r="41" ht="58.5" customHeight="1">
      <x:c r="A41" s="16" t="str">
        <x:v>S36</x:v>
      </x:c>
      <x:c r="B41" s="16" t="str">
        <x:v>Австралопитеки массивные - Антропогенез.РУ</x:v>
      </x:c>
      <x:c r="C41" s="23" t="e">
        <x:f>HYPERLINK("https://antropogenez.ru/zveno-single/58/","https://antropogenez.ru/zveno-single/58/")</x:f>
        <x:v>HYPERLINK is not implemented. linkLocation=https://antropogenez.ru/zveno-single/58/, friendlyName=https://antropogenez.ru/zveno-single/58/</x:v>
      </x:c>
      <x:c r="D41" s="16" t="str">
        <x:v>не указана в прочитанном материале</x:v>
      </x:c>
      <x:c r="E41" s="16" t="str">
        <x:v>A21</x:v>
      </x:c>
    </x:row>
    <x:row r="42" ht="58.5" customHeight="1">
      <x:c r="A42" s="8" t="str">
        <x:v>S37</x:v>
      </x:c>
      <x:c r="B42" s="8" t="str">
        <x:v>Архантропы - древнейшие люди. Питекантропы и синантропы - Антропогенез.РУ</x:v>
      </x:c>
      <x:c r="C42" s="22" t="e">
        <x:f>HYPERLINK("https://antropogenez.ru/zveno-single/60/","https://antropogenez.ru/zveno-single/60/")</x:f>
        <x:v>HYPERLINK is not implemented. linkLocation=https://antropogenez.ru/zveno-single/60/, friendlyName=https://antropogenez.ru/zveno-single/60/</x:v>
      </x:c>
      <x:c r="D42" s="8" t="str">
        <x:v>не указана в прочитанном материале</x:v>
      </x:c>
      <x:c r="E42" s="8" t="str">
        <x:v>D03</x:v>
      </x:c>
    </x:row>
    <x:row r="43" ht="58.5" customHeight="1">
      <x:c r="A43" s="16" t="str">
        <x:v>S38</x:v>
      </x:c>
      <x:c r="B43" s="16" t="str">
        <x:v>О метисации предков австралийцев с денисовцами - Антропогенез.РУ</x:v>
      </x:c>
      <x:c r="C43" s="23" t="e">
        <x:f>HYPERLINK("https://antropogenez.ru/zveno-single/607/","https://antropogenez.ru/zveno-single/607/")</x:f>
        <x:v>HYPERLINK is not implemented. linkLocation=https://antropogenez.ru/zveno-single/607/, friendlyName=https://antropogenez.ru/zveno-single/607/</x:v>
      </x:c>
      <x:c r="D43" s="16" t="str">
        <x:v>не указана в прочитанном материале</x:v>
      </x:c>
      <x:c r="E43" s="16" t="str">
        <x:v>A19; A29</x:v>
      </x:c>
    </x:row>
    <x:row r="44" ht="58.5" customHeight="1">
      <x:c r="A44" s="8" t="str">
        <x:v>S39</x:v>
      </x:c>
      <x:c r="B44" s="8" t="str">
        <x:v>Предки неандертальцев и кроманьонцев - Антропогенез.РУ</x:v>
      </x:c>
      <x:c r="C44" s="22" t="e">
        <x:f>HYPERLINK("https://antropogenez.ru/zveno-single/61/","https://antropogenez.ru/zveno-single/61/")</x:f>
        <x:v>HYPERLINK is not implemented. linkLocation=https://antropogenez.ru/zveno-single/61/, friendlyName=https://antropogenez.ru/zveno-single/61/</x:v>
      </x:c>
      <x:c r="D44" s="8" t="str">
        <x:v>не указана в прочитанном материале</x:v>
      </x:c>
      <x:c r="E44" s="8" t="str">
        <x:v>A01; D04</x:v>
      </x:c>
    </x:row>
    <x:row r="45" ht="58.5" customHeight="1">
      <x:c r="A45" s="16" t="str">
        <x:v>S40</x:v>
      </x:c>
      <x:c r="B45" s="16" t="str">
        <x:v>Заря Homo: древнейшие свидетельства - Антропогенез.РУ</x:v>
      </x:c>
      <x:c r="C45" s="23" t="e">
        <x:f>HYPERLINK("https://antropogenez.ru/zveno-single/749/","https://antropogenez.ru/zveno-single/749/")</x:f>
        <x:v>HYPERLINK is not implemented. linkLocation=https://antropogenez.ru/zveno-single/749/, friendlyName=https://antropogenez.ru/zveno-single/749/</x:v>
      </x:c>
      <x:c r="D45" s="16" t="str">
        <x:v>не указана в прочитанном материале</x:v>
      </x:c>
      <x:c r="E45" s="16" t="str">
        <x:v>A11</x:v>
      </x:c>
    </x:row>
    <x:row r="46" ht="58.5" customHeight="1">
      <x:c r="A46" s="8" t="str">
        <x:v>S41</x:v>
      </x:c>
      <x:c r="B46" s="8" t="str">
        <x:v>Теория антропогенеза человека.  Проблемы антропологии. Учебник - Антропогенез.РУ</x:v>
      </x:c>
      <x:c r="C46" s="22" t="e">
        <x:f>HYPERLINK("https://antropogenez.ru/zveno/","https://antropogenez.ru/zveno/")</x:f>
        <x:v>HYPERLINK is not implemented. linkLocation=https://antropogenez.ru/zveno/, friendlyName=https://antropogenez.ru/zveno/</x:v>
      </x:c>
      <x:c r="D46" s="8" t="str">
        <x:v>не указана в прочитанном материале</x:v>
      </x:c>
      <x:c r="E46" s="8" t="str">
        <x:v>A20</x:v>
      </x:c>
    </x:row>
    <x:row r="47" ht="58.5" customHeight="1">
      <x:c r="A47" s="16" t="str">
        <x:v>S42</x:v>
      </x:c>
      <x:c r="B47" s="16" t="str">
        <x:v>Vidal et al. Age of the oldest known Homo sapiens from eastern Africa</x:v>
      </x:c>
      <x:c r="C47" s="23" t="e">
        <x:f>HYPERLINK("https://www.nature.com/articles/s41586-021-04275-8","https://www.nature.com/articles/s41586-021-04275-8")</x:f>
        <x:v>HYPERLINK is not implemented. linkLocation=https://www.nature.com/articles/s41586-021-04275-8, friendlyName=https://www.nature.com/articles/s41586-021-04275-8</x:v>
      </x:c>
      <x:c r="D47" s="16" t="str">
        <x:v>12.01.2022</x:v>
      </x:c>
      <x:c r="E47" s="16" t="str">
        <x:v>D02</x:v>
      </x:c>
    </x:row>
  </x:sheetData>
  <x:pageMargins left="0.7" right="0.7" top="0.75" bottom="0.75" header="0.3" footer="0.3"/>
  <x:tableParts count="1">
    <x:tablePart xmlns:r="http://schemas.openxmlformats.org/officeDocument/2006/relationships" r:id="R8721fb1a3c1148d1"/>
  </x:tableParts>
</x:worksheet>
</file>